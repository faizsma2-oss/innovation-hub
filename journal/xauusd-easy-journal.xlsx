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Journal" sheetId="2" state="visible" r:id="rId2"/>
    <sheet name="Summary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+0.000;-0.000"/>
    <numFmt numFmtId="166" formatCode="&quot;$&quot;+0.00;&quot;-$&quot;0.00"/>
    <numFmt numFmtId="167" formatCode="0.000"/>
    <numFmt numFmtId="168" formatCode="&quot;$&quot;#,##0.00;&quot;-$&quot;#,##0.00"/>
    <numFmt numFmtId="169" formatCode="&quot;$&quot;#,##0.00"/>
    <numFmt numFmtId="170" formatCode="&quot;$&quot;0.00"/>
  </numFmts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2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2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166" fontId="0" fillId="3" borderId="0" pivotButton="0" quotePrefix="0" xfId="0"/>
    <xf numFmtId="0" fontId="1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167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dxfs count="2">
    <dxf>
      <font>
        <color rgb="002D6A3C"/>
      </font>
    </dxf>
    <dxf>
      <font>
        <color rgb="008C2F2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XAUUSD easy journal</t>
        </is>
      </c>
    </row>
    <row r="2">
      <c r="A2" s="2" t="inlineStr">
        <is>
          <t>SIMULATION ONLY. Not for real money. Not a signal. The rule has not yet been tested on data nobody has looked at.</t>
        </is>
      </c>
    </row>
    <row r="3">
      <c r="A3" s="3" t="inlineStr"/>
    </row>
    <row r="4">
      <c r="A4" s="2" t="inlineStr">
        <is>
          <t>How to use it</t>
        </is>
      </c>
    </row>
    <row r="5">
      <c r="A5" s="3" t="inlineStr">
        <is>
          <t>1. On your Mac, run the journal command (see docs/xauusd-guide-complete.md). It writes data/journal.csv.</t>
        </is>
      </c>
    </row>
    <row r="6">
      <c r="A6" s="3" t="inlineStr">
        <is>
          <t>2. Open data/journal.csv in Excel or Numbers, so the columns split. Copy only the rows that are not in this sheet yet.</t>
        </is>
      </c>
    </row>
    <row r="7">
      <c r="A7" s="3" t="inlineStr">
        <is>
          <t>3. Paste them into the next empty row of the Journal sheet, starting at column A. Never paste over rows you've filled in.</t>
        </is>
      </c>
    </row>
    <row r="8">
      <c r="A8" s="3" t="inlineStr">
        <is>
          <t>4. Fill in the yellow columns by hand: rule_followed (yes or no), actual_entry, actual_exit and notes. Leave them blank if you didn't take that session.</t>
        </is>
      </c>
    </row>
    <row r="9">
      <c r="A9" s="3" t="inlineStr">
        <is>
          <t>5. The grey columns calculate themselves. Don't type in them.</t>
        </is>
      </c>
    </row>
    <row r="10">
      <c r="A10" s="3" t="inlineStr">
        <is>
          <t>6. The Summary sheet updates by itself.</t>
        </is>
      </c>
    </row>
    <row r="11">
      <c r="A11" s="3" t="inlineStr"/>
    </row>
    <row r="12">
      <c r="A12" s="2" t="inlineStr">
        <is>
          <t>The rule the journal tracks</t>
        </is>
      </c>
    </row>
    <row r="13">
      <c r="A13" s="3" t="inlineStr">
        <is>
          <t>Session momentum on XAUUSD. London and New York sessions, 08:00 to 17:00 local time. Entry at 08:30 local time if the close is at least 0.6 × daily ATR above or below the pre-session start price and on the matching side of the 300-bar EMA. Stop 0.6 × daily ATR from entry. Target 2 × the stop distance. Exit at the stop, the target, or the 17:00 close, whichever comes first. At most one entry per session.</t>
        </is>
      </c>
    </row>
    <row r="14">
      <c r="A14" s="3" t="inlineStr"/>
    </row>
    <row r="15">
      <c r="A15" s="2" t="inlineStr">
        <is>
          <t>The limits</t>
        </is>
      </c>
    </row>
    <row r="16">
      <c r="A16" s="3" t="inlineStr">
        <is>
          <t>Simulated balance $10,000. Risk $50 per trade (0.5%). Size = $50 ÷ the distance between entry and stop. Daily loss cap $100. Limits are on the Settings sheet and are fixed for the 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9" customWidth="1" min="4" max="4"/>
    <col width="40" customWidth="1" min="5" max="5"/>
    <col width="10" customWidth="1" min="6" max="6"/>
    <col width="9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  <col width="12" customWidth="1" min="15" max="15"/>
    <col width="13" customWidth="1" min="16" max="16"/>
    <col width="13" customWidth="1" min="17" max="17"/>
    <col width="13" customWidth="1" min="18" max="18"/>
    <col width="36" customWidth="1" min="19" max="19"/>
    <col width="30" customWidth="1" min="20" max="20"/>
    <col width="13" customWidth="1" min="21" max="21"/>
    <col width="12" customWidth="1" min="22" max="22"/>
    <col width="13" customWidth="1" min="23" max="23"/>
    <col width="11" customWidth="1" min="24" max="24"/>
    <col width="13" customWidth="1" min="25" max="25"/>
    <col width="13" customWidth="1" min="26" max="26"/>
  </cols>
  <sheetData>
    <row r="1" ht="42" customHeight="1">
      <c r="A1" s="4" t="inlineStr">
        <is>
          <t>date</t>
        </is>
      </c>
      <c r="B1" s="4" t="inlineStr">
        <is>
          <t>session</t>
        </is>
      </c>
      <c r="C1" s="4" t="inlineStr">
        <is>
          <t>entry_time_local</t>
        </is>
      </c>
      <c r="D1" s="4" t="inlineStr">
        <is>
          <t>market</t>
        </is>
      </c>
      <c r="E1" s="4" t="inlineStr">
        <is>
          <t>setup</t>
        </is>
      </c>
      <c r="F1" s="4" t="inlineStr">
        <is>
          <t>signal_score</t>
        </is>
      </c>
      <c r="G1" s="4" t="inlineStr">
        <is>
          <t>direction</t>
        </is>
      </c>
      <c r="H1" s="4" t="inlineStr">
        <is>
          <t>entry</t>
        </is>
      </c>
      <c r="I1" s="4" t="inlineStr">
        <is>
          <t>stop</t>
        </is>
      </c>
      <c r="J1" s="4" t="inlineStr">
        <is>
          <t>target</t>
        </is>
      </c>
      <c r="K1" s="4" t="inlineStr">
        <is>
          <t>exit</t>
        </is>
      </c>
      <c r="L1" s="4" t="inlineStr">
        <is>
          <t>exit_reason</t>
        </is>
      </c>
      <c r="M1" s="4" t="inlineStr">
        <is>
          <t>result_R</t>
        </is>
      </c>
      <c r="N1" s="4" t="inlineStr">
        <is>
          <t>costs_usd</t>
        </is>
      </c>
      <c r="O1" s="4" t="inlineStr">
        <is>
          <t>simulated_size</t>
        </is>
      </c>
      <c r="P1" s="5" t="inlineStr">
        <is>
          <t>rule_followed</t>
        </is>
      </c>
      <c r="Q1" s="5" t="inlineStr">
        <is>
          <t>actual_entry</t>
        </is>
      </c>
      <c r="R1" s="5" t="inlineStr">
        <is>
          <t>actual_exit</t>
        </is>
      </c>
      <c r="S1" s="5" t="inlineStr">
        <is>
          <t>notes</t>
        </is>
      </c>
      <c r="T1" s="4" t="inlineStr">
        <is>
          <t>source</t>
        </is>
      </c>
      <c r="U1" s="6" t="inlineStr">
        <is>
          <t>auto size (oz)</t>
        </is>
      </c>
      <c r="V1" s="6" t="inlineStr">
        <is>
          <t>result ($)</t>
        </is>
      </c>
      <c r="W1" s="6" t="inlineStr">
        <is>
          <t>cumulative R</t>
        </is>
      </c>
      <c r="X1" s="6" t="inlineStr">
        <is>
          <t>peak R</t>
        </is>
      </c>
      <c r="Y1" s="6" t="inlineStr">
        <is>
          <t>drawdown R</t>
        </is>
      </c>
      <c r="Z1" s="6" t="inlineStr">
        <is>
          <t>losing streak</t>
        </is>
      </c>
    </row>
    <row r="2">
      <c r="H2" s="7" t="n"/>
      <c r="I2" s="7" t="n"/>
      <c r="J2" s="7" t="n"/>
      <c r="K2" s="7" t="n"/>
      <c r="M2" s="8" t="n"/>
      <c r="P2" s="9" t="n"/>
      <c r="Q2" s="10" t="n"/>
      <c r="R2" s="10" t="n"/>
      <c r="S2" s="11" t="n"/>
      <c r="U2" s="12">
        <f>IF(OR(H2="",I2=""),"",ROUND(Settings!$B$4/ABS(H2-I2),2))</f>
        <v/>
      </c>
      <c r="V2" s="13">
        <f>IF(M2="","",ROUND(M2*Settings!$B$4,2))</f>
        <v/>
      </c>
      <c r="W2" s="12">
        <f>IF(M2="","",SUM($M$2:M2))</f>
        <v/>
      </c>
      <c r="X2" s="12">
        <f>IF(M2="","",MAX(0,N(X1),W2))</f>
        <v/>
      </c>
      <c r="Y2" s="12">
        <f>IF(M2="","",X2-W2)</f>
        <v/>
      </c>
      <c r="Z2" s="12">
        <f>IF(M2="","",IF(M2&lt;0,N(Z1)+1,0))</f>
        <v/>
      </c>
    </row>
    <row r="3">
      <c r="H3" s="7" t="n"/>
      <c r="I3" s="7" t="n"/>
      <c r="J3" s="7" t="n"/>
      <c r="K3" s="7" t="n"/>
      <c r="M3" s="8" t="n"/>
      <c r="P3" s="9" t="n"/>
      <c r="Q3" s="10" t="n"/>
      <c r="R3" s="10" t="n"/>
      <c r="S3" s="11" t="n"/>
      <c r="U3" s="12">
        <f>IF(OR(H3="",I3=""),"",ROUND(Settings!$B$4/ABS(H3-I3),2))</f>
        <v/>
      </c>
      <c r="V3" s="13">
        <f>IF(M3="","",ROUND(M3*Settings!$B$4,2))</f>
        <v/>
      </c>
      <c r="W3" s="12">
        <f>IF(M3="","",SUM($M$2:M3))</f>
        <v/>
      </c>
      <c r="X3" s="12">
        <f>IF(M3="","",MAX(0,N(X2),W3))</f>
        <v/>
      </c>
      <c r="Y3" s="12">
        <f>IF(M3="","",X3-W3)</f>
        <v/>
      </c>
      <c r="Z3" s="12">
        <f>IF(M3="","",IF(M3&lt;0,N(Z2)+1,0))</f>
        <v/>
      </c>
    </row>
    <row r="4">
      <c r="H4" s="7" t="n"/>
      <c r="I4" s="7" t="n"/>
      <c r="J4" s="7" t="n"/>
      <c r="K4" s="7" t="n"/>
      <c r="M4" s="8" t="n"/>
      <c r="P4" s="9" t="n"/>
      <c r="Q4" s="10" t="n"/>
      <c r="R4" s="10" t="n"/>
      <c r="S4" s="11" t="n"/>
      <c r="U4" s="12">
        <f>IF(OR(H4="",I4=""),"",ROUND(Settings!$B$4/ABS(H4-I4),2))</f>
        <v/>
      </c>
      <c r="V4" s="13">
        <f>IF(M4="","",ROUND(M4*Settings!$B$4,2))</f>
        <v/>
      </c>
      <c r="W4" s="12">
        <f>IF(M4="","",SUM($M$2:M4))</f>
        <v/>
      </c>
      <c r="X4" s="12">
        <f>IF(M4="","",MAX(0,N(X3),W4))</f>
        <v/>
      </c>
      <c r="Y4" s="12">
        <f>IF(M4="","",X4-W4)</f>
        <v/>
      </c>
      <c r="Z4" s="12">
        <f>IF(M4="","",IF(M4&lt;0,N(Z3)+1,0))</f>
        <v/>
      </c>
    </row>
    <row r="5">
      <c r="H5" s="7" t="n"/>
      <c r="I5" s="7" t="n"/>
      <c r="J5" s="7" t="n"/>
      <c r="K5" s="7" t="n"/>
      <c r="M5" s="8" t="n"/>
      <c r="P5" s="9" t="n"/>
      <c r="Q5" s="10" t="n"/>
      <c r="R5" s="10" t="n"/>
      <c r="S5" s="11" t="n"/>
      <c r="U5" s="12">
        <f>IF(OR(H5="",I5=""),"",ROUND(Settings!$B$4/ABS(H5-I5),2))</f>
        <v/>
      </c>
      <c r="V5" s="13">
        <f>IF(M5="","",ROUND(M5*Settings!$B$4,2))</f>
        <v/>
      </c>
      <c r="W5" s="12">
        <f>IF(M5="","",SUM($M$2:M5))</f>
        <v/>
      </c>
      <c r="X5" s="12">
        <f>IF(M5="","",MAX(0,N(X4),W5))</f>
        <v/>
      </c>
      <c r="Y5" s="12">
        <f>IF(M5="","",X5-W5)</f>
        <v/>
      </c>
      <c r="Z5" s="12">
        <f>IF(M5="","",IF(M5&lt;0,N(Z4)+1,0))</f>
        <v/>
      </c>
    </row>
    <row r="6">
      <c r="H6" s="7" t="n"/>
      <c r="I6" s="7" t="n"/>
      <c r="J6" s="7" t="n"/>
      <c r="K6" s="7" t="n"/>
      <c r="M6" s="8" t="n"/>
      <c r="P6" s="9" t="n"/>
      <c r="Q6" s="10" t="n"/>
      <c r="R6" s="10" t="n"/>
      <c r="S6" s="11" t="n"/>
      <c r="U6" s="12">
        <f>IF(OR(H6="",I6=""),"",ROUND(Settings!$B$4/ABS(H6-I6),2))</f>
        <v/>
      </c>
      <c r="V6" s="13">
        <f>IF(M6="","",ROUND(M6*Settings!$B$4,2))</f>
        <v/>
      </c>
      <c r="W6" s="12">
        <f>IF(M6="","",SUM($M$2:M6))</f>
        <v/>
      </c>
      <c r="X6" s="12">
        <f>IF(M6="","",MAX(0,N(X5),W6))</f>
        <v/>
      </c>
      <c r="Y6" s="12">
        <f>IF(M6="","",X6-W6)</f>
        <v/>
      </c>
      <c r="Z6" s="12">
        <f>IF(M6="","",IF(M6&lt;0,N(Z5)+1,0))</f>
        <v/>
      </c>
    </row>
    <row r="7">
      <c r="H7" s="7" t="n"/>
      <c r="I7" s="7" t="n"/>
      <c r="J7" s="7" t="n"/>
      <c r="K7" s="7" t="n"/>
      <c r="M7" s="8" t="n"/>
      <c r="P7" s="9" t="n"/>
      <c r="Q7" s="10" t="n"/>
      <c r="R7" s="10" t="n"/>
      <c r="S7" s="11" t="n"/>
      <c r="U7" s="12">
        <f>IF(OR(H7="",I7=""),"",ROUND(Settings!$B$4/ABS(H7-I7),2))</f>
        <v/>
      </c>
      <c r="V7" s="13">
        <f>IF(M7="","",ROUND(M7*Settings!$B$4,2))</f>
        <v/>
      </c>
      <c r="W7" s="12">
        <f>IF(M7="","",SUM($M$2:M7))</f>
        <v/>
      </c>
      <c r="X7" s="12">
        <f>IF(M7="","",MAX(0,N(X6),W7))</f>
        <v/>
      </c>
      <c r="Y7" s="12">
        <f>IF(M7="","",X7-W7)</f>
        <v/>
      </c>
      <c r="Z7" s="12">
        <f>IF(M7="","",IF(M7&lt;0,N(Z6)+1,0))</f>
        <v/>
      </c>
    </row>
    <row r="8">
      <c r="H8" s="7" t="n"/>
      <c r="I8" s="7" t="n"/>
      <c r="J8" s="7" t="n"/>
      <c r="K8" s="7" t="n"/>
      <c r="M8" s="8" t="n"/>
      <c r="P8" s="9" t="n"/>
      <c r="Q8" s="10" t="n"/>
      <c r="R8" s="10" t="n"/>
      <c r="S8" s="11" t="n"/>
      <c r="U8" s="12">
        <f>IF(OR(H8="",I8=""),"",ROUND(Settings!$B$4/ABS(H8-I8),2))</f>
        <v/>
      </c>
      <c r="V8" s="13">
        <f>IF(M8="","",ROUND(M8*Settings!$B$4,2))</f>
        <v/>
      </c>
      <c r="W8" s="12">
        <f>IF(M8="","",SUM($M$2:M8))</f>
        <v/>
      </c>
      <c r="X8" s="12">
        <f>IF(M8="","",MAX(0,N(X7),W8))</f>
        <v/>
      </c>
      <c r="Y8" s="12">
        <f>IF(M8="","",X8-W8)</f>
        <v/>
      </c>
      <c r="Z8" s="12">
        <f>IF(M8="","",IF(M8&lt;0,N(Z7)+1,0))</f>
        <v/>
      </c>
    </row>
    <row r="9">
      <c r="H9" s="7" t="n"/>
      <c r="I9" s="7" t="n"/>
      <c r="J9" s="7" t="n"/>
      <c r="K9" s="7" t="n"/>
      <c r="M9" s="8" t="n"/>
      <c r="P9" s="9" t="n"/>
      <c r="Q9" s="10" t="n"/>
      <c r="R9" s="10" t="n"/>
      <c r="S9" s="11" t="n"/>
      <c r="U9" s="12">
        <f>IF(OR(H9="",I9=""),"",ROUND(Settings!$B$4/ABS(H9-I9),2))</f>
        <v/>
      </c>
      <c r="V9" s="13">
        <f>IF(M9="","",ROUND(M9*Settings!$B$4,2))</f>
        <v/>
      </c>
      <c r="W9" s="12">
        <f>IF(M9="","",SUM($M$2:M9))</f>
        <v/>
      </c>
      <c r="X9" s="12">
        <f>IF(M9="","",MAX(0,N(X8),W9))</f>
        <v/>
      </c>
      <c r="Y9" s="12">
        <f>IF(M9="","",X9-W9)</f>
        <v/>
      </c>
      <c r="Z9" s="12">
        <f>IF(M9="","",IF(M9&lt;0,N(Z8)+1,0))</f>
        <v/>
      </c>
    </row>
    <row r="10">
      <c r="H10" s="7" t="n"/>
      <c r="I10" s="7" t="n"/>
      <c r="J10" s="7" t="n"/>
      <c r="K10" s="7" t="n"/>
      <c r="M10" s="8" t="n"/>
      <c r="P10" s="9" t="n"/>
      <c r="Q10" s="10" t="n"/>
      <c r="R10" s="10" t="n"/>
      <c r="S10" s="11" t="n"/>
      <c r="U10" s="12">
        <f>IF(OR(H10="",I10=""),"",ROUND(Settings!$B$4/ABS(H10-I10),2))</f>
        <v/>
      </c>
      <c r="V10" s="13">
        <f>IF(M10="","",ROUND(M10*Settings!$B$4,2))</f>
        <v/>
      </c>
      <c r="W10" s="12">
        <f>IF(M10="","",SUM($M$2:M10))</f>
        <v/>
      </c>
      <c r="X10" s="12">
        <f>IF(M10="","",MAX(0,N(X9),W10))</f>
        <v/>
      </c>
      <c r="Y10" s="12">
        <f>IF(M10="","",X10-W10)</f>
        <v/>
      </c>
      <c r="Z10" s="12">
        <f>IF(M10="","",IF(M10&lt;0,N(Z9)+1,0))</f>
        <v/>
      </c>
    </row>
    <row r="11">
      <c r="H11" s="7" t="n"/>
      <c r="I11" s="7" t="n"/>
      <c r="J11" s="7" t="n"/>
      <c r="K11" s="7" t="n"/>
      <c r="M11" s="8" t="n"/>
      <c r="P11" s="9" t="n"/>
      <c r="Q11" s="10" t="n"/>
      <c r="R11" s="10" t="n"/>
      <c r="S11" s="11" t="n"/>
      <c r="U11" s="12">
        <f>IF(OR(H11="",I11=""),"",ROUND(Settings!$B$4/ABS(H11-I11),2))</f>
        <v/>
      </c>
      <c r="V11" s="13">
        <f>IF(M11="","",ROUND(M11*Settings!$B$4,2))</f>
        <v/>
      </c>
      <c r="W11" s="12">
        <f>IF(M11="","",SUM($M$2:M11))</f>
        <v/>
      </c>
      <c r="X11" s="12">
        <f>IF(M11="","",MAX(0,N(X10),W11))</f>
        <v/>
      </c>
      <c r="Y11" s="12">
        <f>IF(M11="","",X11-W11)</f>
        <v/>
      </c>
      <c r="Z11" s="12">
        <f>IF(M11="","",IF(M11&lt;0,N(Z10)+1,0))</f>
        <v/>
      </c>
    </row>
    <row r="12">
      <c r="H12" s="7" t="n"/>
      <c r="I12" s="7" t="n"/>
      <c r="J12" s="7" t="n"/>
      <c r="K12" s="7" t="n"/>
      <c r="M12" s="8" t="n"/>
      <c r="P12" s="9" t="n"/>
      <c r="Q12" s="10" t="n"/>
      <c r="R12" s="10" t="n"/>
      <c r="S12" s="11" t="n"/>
      <c r="U12" s="12">
        <f>IF(OR(H12="",I12=""),"",ROUND(Settings!$B$4/ABS(H12-I12),2))</f>
        <v/>
      </c>
      <c r="V12" s="13">
        <f>IF(M12="","",ROUND(M12*Settings!$B$4,2))</f>
        <v/>
      </c>
      <c r="W12" s="12">
        <f>IF(M12="","",SUM($M$2:M12))</f>
        <v/>
      </c>
      <c r="X12" s="12">
        <f>IF(M12="","",MAX(0,N(X11),W12))</f>
        <v/>
      </c>
      <c r="Y12" s="12">
        <f>IF(M12="","",X12-W12)</f>
        <v/>
      </c>
      <c r="Z12" s="12">
        <f>IF(M12="","",IF(M12&lt;0,N(Z11)+1,0))</f>
        <v/>
      </c>
    </row>
    <row r="13">
      <c r="H13" s="7" t="n"/>
      <c r="I13" s="7" t="n"/>
      <c r="J13" s="7" t="n"/>
      <c r="K13" s="7" t="n"/>
      <c r="M13" s="8" t="n"/>
      <c r="P13" s="9" t="n"/>
      <c r="Q13" s="10" t="n"/>
      <c r="R13" s="10" t="n"/>
      <c r="S13" s="11" t="n"/>
      <c r="U13" s="12">
        <f>IF(OR(H13="",I13=""),"",ROUND(Settings!$B$4/ABS(H13-I13),2))</f>
        <v/>
      </c>
      <c r="V13" s="13">
        <f>IF(M13="","",ROUND(M13*Settings!$B$4,2))</f>
        <v/>
      </c>
      <c r="W13" s="12">
        <f>IF(M13="","",SUM($M$2:M13))</f>
        <v/>
      </c>
      <c r="X13" s="12">
        <f>IF(M13="","",MAX(0,N(X12),W13))</f>
        <v/>
      </c>
      <c r="Y13" s="12">
        <f>IF(M13="","",X13-W13)</f>
        <v/>
      </c>
      <c r="Z13" s="12">
        <f>IF(M13="","",IF(M13&lt;0,N(Z12)+1,0))</f>
        <v/>
      </c>
    </row>
    <row r="14">
      <c r="H14" s="7" t="n"/>
      <c r="I14" s="7" t="n"/>
      <c r="J14" s="7" t="n"/>
      <c r="K14" s="7" t="n"/>
      <c r="M14" s="8" t="n"/>
      <c r="P14" s="9" t="n"/>
      <c r="Q14" s="10" t="n"/>
      <c r="R14" s="10" t="n"/>
      <c r="S14" s="11" t="n"/>
      <c r="U14" s="12">
        <f>IF(OR(H14="",I14=""),"",ROUND(Settings!$B$4/ABS(H14-I14),2))</f>
        <v/>
      </c>
      <c r="V14" s="13">
        <f>IF(M14="","",ROUND(M14*Settings!$B$4,2))</f>
        <v/>
      </c>
      <c r="W14" s="12">
        <f>IF(M14="","",SUM($M$2:M14))</f>
        <v/>
      </c>
      <c r="X14" s="12">
        <f>IF(M14="","",MAX(0,N(X13),W14))</f>
        <v/>
      </c>
      <c r="Y14" s="12">
        <f>IF(M14="","",X14-W14)</f>
        <v/>
      </c>
      <c r="Z14" s="12">
        <f>IF(M14="","",IF(M14&lt;0,N(Z13)+1,0))</f>
        <v/>
      </c>
    </row>
    <row r="15">
      <c r="H15" s="7" t="n"/>
      <c r="I15" s="7" t="n"/>
      <c r="J15" s="7" t="n"/>
      <c r="K15" s="7" t="n"/>
      <c r="M15" s="8" t="n"/>
      <c r="P15" s="9" t="n"/>
      <c r="Q15" s="10" t="n"/>
      <c r="R15" s="10" t="n"/>
      <c r="S15" s="11" t="n"/>
      <c r="U15" s="12">
        <f>IF(OR(H15="",I15=""),"",ROUND(Settings!$B$4/ABS(H15-I15),2))</f>
        <v/>
      </c>
      <c r="V15" s="13">
        <f>IF(M15="","",ROUND(M15*Settings!$B$4,2))</f>
        <v/>
      </c>
      <c r="W15" s="12">
        <f>IF(M15="","",SUM($M$2:M15))</f>
        <v/>
      </c>
      <c r="X15" s="12">
        <f>IF(M15="","",MAX(0,N(X14),W15))</f>
        <v/>
      </c>
      <c r="Y15" s="12">
        <f>IF(M15="","",X15-W15)</f>
        <v/>
      </c>
      <c r="Z15" s="12">
        <f>IF(M15="","",IF(M15&lt;0,N(Z14)+1,0))</f>
        <v/>
      </c>
    </row>
    <row r="16">
      <c r="H16" s="7" t="n"/>
      <c r="I16" s="7" t="n"/>
      <c r="J16" s="7" t="n"/>
      <c r="K16" s="7" t="n"/>
      <c r="M16" s="8" t="n"/>
      <c r="P16" s="9" t="n"/>
      <c r="Q16" s="10" t="n"/>
      <c r="R16" s="10" t="n"/>
      <c r="S16" s="11" t="n"/>
      <c r="U16" s="12">
        <f>IF(OR(H16="",I16=""),"",ROUND(Settings!$B$4/ABS(H16-I16),2))</f>
        <v/>
      </c>
      <c r="V16" s="13">
        <f>IF(M16="","",ROUND(M16*Settings!$B$4,2))</f>
        <v/>
      </c>
      <c r="W16" s="12">
        <f>IF(M16="","",SUM($M$2:M16))</f>
        <v/>
      </c>
      <c r="X16" s="12">
        <f>IF(M16="","",MAX(0,N(X15),W16))</f>
        <v/>
      </c>
      <c r="Y16" s="12">
        <f>IF(M16="","",X16-W16)</f>
        <v/>
      </c>
      <c r="Z16" s="12">
        <f>IF(M16="","",IF(M16&lt;0,N(Z15)+1,0))</f>
        <v/>
      </c>
    </row>
    <row r="17">
      <c r="H17" s="7" t="n"/>
      <c r="I17" s="7" t="n"/>
      <c r="J17" s="7" t="n"/>
      <c r="K17" s="7" t="n"/>
      <c r="M17" s="8" t="n"/>
      <c r="P17" s="9" t="n"/>
      <c r="Q17" s="10" t="n"/>
      <c r="R17" s="10" t="n"/>
      <c r="S17" s="11" t="n"/>
      <c r="U17" s="12">
        <f>IF(OR(H17="",I17=""),"",ROUND(Settings!$B$4/ABS(H17-I17),2))</f>
        <v/>
      </c>
      <c r="V17" s="13">
        <f>IF(M17="","",ROUND(M17*Settings!$B$4,2))</f>
        <v/>
      </c>
      <c r="W17" s="12">
        <f>IF(M17="","",SUM($M$2:M17))</f>
        <v/>
      </c>
      <c r="X17" s="12">
        <f>IF(M17="","",MAX(0,N(X16),W17))</f>
        <v/>
      </c>
      <c r="Y17" s="12">
        <f>IF(M17="","",X17-W17)</f>
        <v/>
      </c>
      <c r="Z17" s="12">
        <f>IF(M17="","",IF(M17&lt;0,N(Z16)+1,0))</f>
        <v/>
      </c>
    </row>
    <row r="18">
      <c r="H18" s="7" t="n"/>
      <c r="I18" s="7" t="n"/>
      <c r="J18" s="7" t="n"/>
      <c r="K18" s="7" t="n"/>
      <c r="M18" s="8" t="n"/>
      <c r="P18" s="9" t="n"/>
      <c r="Q18" s="10" t="n"/>
      <c r="R18" s="10" t="n"/>
      <c r="S18" s="11" t="n"/>
      <c r="U18" s="12">
        <f>IF(OR(H18="",I18=""),"",ROUND(Settings!$B$4/ABS(H18-I18),2))</f>
        <v/>
      </c>
      <c r="V18" s="13">
        <f>IF(M18="","",ROUND(M18*Settings!$B$4,2))</f>
        <v/>
      </c>
      <c r="W18" s="12">
        <f>IF(M18="","",SUM($M$2:M18))</f>
        <v/>
      </c>
      <c r="X18" s="12">
        <f>IF(M18="","",MAX(0,N(X17),W18))</f>
        <v/>
      </c>
      <c r="Y18" s="12">
        <f>IF(M18="","",X18-W18)</f>
        <v/>
      </c>
      <c r="Z18" s="12">
        <f>IF(M18="","",IF(M18&lt;0,N(Z17)+1,0))</f>
        <v/>
      </c>
    </row>
    <row r="19">
      <c r="H19" s="7" t="n"/>
      <c r="I19" s="7" t="n"/>
      <c r="J19" s="7" t="n"/>
      <c r="K19" s="7" t="n"/>
      <c r="M19" s="8" t="n"/>
      <c r="P19" s="9" t="n"/>
      <c r="Q19" s="10" t="n"/>
      <c r="R19" s="10" t="n"/>
      <c r="S19" s="11" t="n"/>
      <c r="U19" s="12">
        <f>IF(OR(H19="",I19=""),"",ROUND(Settings!$B$4/ABS(H19-I19),2))</f>
        <v/>
      </c>
      <c r="V19" s="13">
        <f>IF(M19="","",ROUND(M19*Settings!$B$4,2))</f>
        <v/>
      </c>
      <c r="W19" s="12">
        <f>IF(M19="","",SUM($M$2:M19))</f>
        <v/>
      </c>
      <c r="X19" s="12">
        <f>IF(M19="","",MAX(0,N(X18),W19))</f>
        <v/>
      </c>
      <c r="Y19" s="12">
        <f>IF(M19="","",X19-W19)</f>
        <v/>
      </c>
      <c r="Z19" s="12">
        <f>IF(M19="","",IF(M19&lt;0,N(Z18)+1,0))</f>
        <v/>
      </c>
    </row>
    <row r="20">
      <c r="H20" s="7" t="n"/>
      <c r="I20" s="7" t="n"/>
      <c r="J20" s="7" t="n"/>
      <c r="K20" s="7" t="n"/>
      <c r="M20" s="8" t="n"/>
      <c r="P20" s="9" t="n"/>
      <c r="Q20" s="10" t="n"/>
      <c r="R20" s="10" t="n"/>
      <c r="S20" s="11" t="n"/>
      <c r="U20" s="12">
        <f>IF(OR(H20="",I20=""),"",ROUND(Settings!$B$4/ABS(H20-I20),2))</f>
        <v/>
      </c>
      <c r="V20" s="13">
        <f>IF(M20="","",ROUND(M20*Settings!$B$4,2))</f>
        <v/>
      </c>
      <c r="W20" s="12">
        <f>IF(M20="","",SUM($M$2:M20))</f>
        <v/>
      </c>
      <c r="X20" s="12">
        <f>IF(M20="","",MAX(0,N(X19),W20))</f>
        <v/>
      </c>
      <c r="Y20" s="12">
        <f>IF(M20="","",X20-W20)</f>
        <v/>
      </c>
      <c r="Z20" s="12">
        <f>IF(M20="","",IF(M20&lt;0,N(Z19)+1,0))</f>
        <v/>
      </c>
    </row>
    <row r="21">
      <c r="H21" s="7" t="n"/>
      <c r="I21" s="7" t="n"/>
      <c r="J21" s="7" t="n"/>
      <c r="K21" s="7" t="n"/>
      <c r="M21" s="8" t="n"/>
      <c r="P21" s="9" t="n"/>
      <c r="Q21" s="10" t="n"/>
      <c r="R21" s="10" t="n"/>
      <c r="S21" s="11" t="n"/>
      <c r="U21" s="12">
        <f>IF(OR(H21="",I21=""),"",ROUND(Settings!$B$4/ABS(H21-I21),2))</f>
        <v/>
      </c>
      <c r="V21" s="13">
        <f>IF(M21="","",ROUND(M21*Settings!$B$4,2))</f>
        <v/>
      </c>
      <c r="W21" s="12">
        <f>IF(M21="","",SUM($M$2:M21))</f>
        <v/>
      </c>
      <c r="X21" s="12">
        <f>IF(M21="","",MAX(0,N(X20),W21))</f>
        <v/>
      </c>
      <c r="Y21" s="12">
        <f>IF(M21="","",X21-W21)</f>
        <v/>
      </c>
      <c r="Z21" s="12">
        <f>IF(M21="","",IF(M21&lt;0,N(Z20)+1,0))</f>
        <v/>
      </c>
    </row>
    <row r="22">
      <c r="H22" s="7" t="n"/>
      <c r="I22" s="7" t="n"/>
      <c r="J22" s="7" t="n"/>
      <c r="K22" s="7" t="n"/>
      <c r="M22" s="8" t="n"/>
      <c r="P22" s="9" t="n"/>
      <c r="Q22" s="10" t="n"/>
      <c r="R22" s="10" t="n"/>
      <c r="S22" s="11" t="n"/>
      <c r="U22" s="12">
        <f>IF(OR(H22="",I22=""),"",ROUND(Settings!$B$4/ABS(H22-I22),2))</f>
        <v/>
      </c>
      <c r="V22" s="13">
        <f>IF(M22="","",ROUND(M22*Settings!$B$4,2))</f>
        <v/>
      </c>
      <c r="W22" s="12">
        <f>IF(M22="","",SUM($M$2:M22))</f>
        <v/>
      </c>
      <c r="X22" s="12">
        <f>IF(M22="","",MAX(0,N(X21),W22))</f>
        <v/>
      </c>
      <c r="Y22" s="12">
        <f>IF(M22="","",X22-W22)</f>
        <v/>
      </c>
      <c r="Z22" s="12">
        <f>IF(M22="","",IF(M22&lt;0,N(Z21)+1,0))</f>
        <v/>
      </c>
    </row>
    <row r="23">
      <c r="H23" s="7" t="n"/>
      <c r="I23" s="7" t="n"/>
      <c r="J23" s="7" t="n"/>
      <c r="K23" s="7" t="n"/>
      <c r="M23" s="8" t="n"/>
      <c r="P23" s="9" t="n"/>
      <c r="Q23" s="10" t="n"/>
      <c r="R23" s="10" t="n"/>
      <c r="S23" s="11" t="n"/>
      <c r="U23" s="12">
        <f>IF(OR(H23="",I23=""),"",ROUND(Settings!$B$4/ABS(H23-I23),2))</f>
        <v/>
      </c>
      <c r="V23" s="13">
        <f>IF(M23="","",ROUND(M23*Settings!$B$4,2))</f>
        <v/>
      </c>
      <c r="W23" s="12">
        <f>IF(M23="","",SUM($M$2:M23))</f>
        <v/>
      </c>
      <c r="X23" s="12">
        <f>IF(M23="","",MAX(0,N(X22),W23))</f>
        <v/>
      </c>
      <c r="Y23" s="12">
        <f>IF(M23="","",X23-W23)</f>
        <v/>
      </c>
      <c r="Z23" s="12">
        <f>IF(M23="","",IF(M23&lt;0,N(Z22)+1,0))</f>
        <v/>
      </c>
    </row>
    <row r="24">
      <c r="H24" s="7" t="n"/>
      <c r="I24" s="7" t="n"/>
      <c r="J24" s="7" t="n"/>
      <c r="K24" s="7" t="n"/>
      <c r="M24" s="8" t="n"/>
      <c r="P24" s="9" t="n"/>
      <c r="Q24" s="10" t="n"/>
      <c r="R24" s="10" t="n"/>
      <c r="S24" s="11" t="n"/>
      <c r="U24" s="12">
        <f>IF(OR(H24="",I24=""),"",ROUND(Settings!$B$4/ABS(H24-I24),2))</f>
        <v/>
      </c>
      <c r="V24" s="13">
        <f>IF(M24="","",ROUND(M24*Settings!$B$4,2))</f>
        <v/>
      </c>
      <c r="W24" s="12">
        <f>IF(M24="","",SUM($M$2:M24))</f>
        <v/>
      </c>
      <c r="X24" s="12">
        <f>IF(M24="","",MAX(0,N(X23),W24))</f>
        <v/>
      </c>
      <c r="Y24" s="12">
        <f>IF(M24="","",X24-W24)</f>
        <v/>
      </c>
      <c r="Z24" s="12">
        <f>IF(M24="","",IF(M24&lt;0,N(Z23)+1,0))</f>
        <v/>
      </c>
    </row>
    <row r="25">
      <c r="H25" s="7" t="n"/>
      <c r="I25" s="7" t="n"/>
      <c r="J25" s="7" t="n"/>
      <c r="K25" s="7" t="n"/>
      <c r="M25" s="8" t="n"/>
      <c r="P25" s="9" t="n"/>
      <c r="Q25" s="10" t="n"/>
      <c r="R25" s="10" t="n"/>
      <c r="S25" s="11" t="n"/>
      <c r="U25" s="12">
        <f>IF(OR(H25="",I25=""),"",ROUND(Settings!$B$4/ABS(H25-I25),2))</f>
        <v/>
      </c>
      <c r="V25" s="13">
        <f>IF(M25="","",ROUND(M25*Settings!$B$4,2))</f>
        <v/>
      </c>
      <c r="W25" s="12">
        <f>IF(M25="","",SUM($M$2:M25))</f>
        <v/>
      </c>
      <c r="X25" s="12">
        <f>IF(M25="","",MAX(0,N(X24),W25))</f>
        <v/>
      </c>
      <c r="Y25" s="12">
        <f>IF(M25="","",X25-W25)</f>
        <v/>
      </c>
      <c r="Z25" s="12">
        <f>IF(M25="","",IF(M25&lt;0,N(Z24)+1,0))</f>
        <v/>
      </c>
    </row>
    <row r="26">
      <c r="H26" s="7" t="n"/>
      <c r="I26" s="7" t="n"/>
      <c r="J26" s="7" t="n"/>
      <c r="K26" s="7" t="n"/>
      <c r="M26" s="8" t="n"/>
      <c r="P26" s="9" t="n"/>
      <c r="Q26" s="10" t="n"/>
      <c r="R26" s="10" t="n"/>
      <c r="S26" s="11" t="n"/>
      <c r="U26" s="12">
        <f>IF(OR(H26="",I26=""),"",ROUND(Settings!$B$4/ABS(H26-I26),2))</f>
        <v/>
      </c>
      <c r="V26" s="13">
        <f>IF(M26="","",ROUND(M26*Settings!$B$4,2))</f>
        <v/>
      </c>
      <c r="W26" s="12">
        <f>IF(M26="","",SUM($M$2:M26))</f>
        <v/>
      </c>
      <c r="X26" s="12">
        <f>IF(M26="","",MAX(0,N(X25),W26))</f>
        <v/>
      </c>
      <c r="Y26" s="12">
        <f>IF(M26="","",X26-W26)</f>
        <v/>
      </c>
      <c r="Z26" s="12">
        <f>IF(M26="","",IF(M26&lt;0,N(Z25)+1,0))</f>
        <v/>
      </c>
    </row>
    <row r="27">
      <c r="H27" s="7" t="n"/>
      <c r="I27" s="7" t="n"/>
      <c r="J27" s="7" t="n"/>
      <c r="K27" s="7" t="n"/>
      <c r="M27" s="8" t="n"/>
      <c r="P27" s="9" t="n"/>
      <c r="Q27" s="10" t="n"/>
      <c r="R27" s="10" t="n"/>
      <c r="S27" s="11" t="n"/>
      <c r="U27" s="12">
        <f>IF(OR(H27="",I27=""),"",ROUND(Settings!$B$4/ABS(H27-I27),2))</f>
        <v/>
      </c>
      <c r="V27" s="13">
        <f>IF(M27="","",ROUND(M27*Settings!$B$4,2))</f>
        <v/>
      </c>
      <c r="W27" s="12">
        <f>IF(M27="","",SUM($M$2:M27))</f>
        <v/>
      </c>
      <c r="X27" s="12">
        <f>IF(M27="","",MAX(0,N(X26),W27))</f>
        <v/>
      </c>
      <c r="Y27" s="12">
        <f>IF(M27="","",X27-W27)</f>
        <v/>
      </c>
      <c r="Z27" s="12">
        <f>IF(M27="","",IF(M27&lt;0,N(Z26)+1,0))</f>
        <v/>
      </c>
    </row>
    <row r="28">
      <c r="H28" s="7" t="n"/>
      <c r="I28" s="7" t="n"/>
      <c r="J28" s="7" t="n"/>
      <c r="K28" s="7" t="n"/>
      <c r="M28" s="8" t="n"/>
      <c r="P28" s="9" t="n"/>
      <c r="Q28" s="10" t="n"/>
      <c r="R28" s="10" t="n"/>
      <c r="S28" s="11" t="n"/>
      <c r="U28" s="12">
        <f>IF(OR(H28="",I28=""),"",ROUND(Settings!$B$4/ABS(H28-I28),2))</f>
        <v/>
      </c>
      <c r="V28" s="13">
        <f>IF(M28="","",ROUND(M28*Settings!$B$4,2))</f>
        <v/>
      </c>
      <c r="W28" s="12">
        <f>IF(M28="","",SUM($M$2:M28))</f>
        <v/>
      </c>
      <c r="X28" s="12">
        <f>IF(M28="","",MAX(0,N(X27),W28))</f>
        <v/>
      </c>
      <c r="Y28" s="12">
        <f>IF(M28="","",X28-W28)</f>
        <v/>
      </c>
      <c r="Z28" s="12">
        <f>IF(M28="","",IF(M28&lt;0,N(Z27)+1,0))</f>
        <v/>
      </c>
    </row>
    <row r="29">
      <c r="H29" s="7" t="n"/>
      <c r="I29" s="7" t="n"/>
      <c r="J29" s="7" t="n"/>
      <c r="K29" s="7" t="n"/>
      <c r="M29" s="8" t="n"/>
      <c r="P29" s="9" t="n"/>
      <c r="Q29" s="10" t="n"/>
      <c r="R29" s="10" t="n"/>
      <c r="S29" s="11" t="n"/>
      <c r="U29" s="12">
        <f>IF(OR(H29="",I29=""),"",ROUND(Settings!$B$4/ABS(H29-I29),2))</f>
        <v/>
      </c>
      <c r="V29" s="13">
        <f>IF(M29="","",ROUND(M29*Settings!$B$4,2))</f>
        <v/>
      </c>
      <c r="W29" s="12">
        <f>IF(M29="","",SUM($M$2:M29))</f>
        <v/>
      </c>
      <c r="X29" s="12">
        <f>IF(M29="","",MAX(0,N(X28),W29))</f>
        <v/>
      </c>
      <c r="Y29" s="12">
        <f>IF(M29="","",X29-W29)</f>
        <v/>
      </c>
      <c r="Z29" s="12">
        <f>IF(M29="","",IF(M29&lt;0,N(Z28)+1,0))</f>
        <v/>
      </c>
    </row>
    <row r="30">
      <c r="H30" s="7" t="n"/>
      <c r="I30" s="7" t="n"/>
      <c r="J30" s="7" t="n"/>
      <c r="K30" s="7" t="n"/>
      <c r="M30" s="8" t="n"/>
      <c r="P30" s="9" t="n"/>
      <c r="Q30" s="10" t="n"/>
      <c r="R30" s="10" t="n"/>
      <c r="S30" s="11" t="n"/>
      <c r="U30" s="12">
        <f>IF(OR(H30="",I30=""),"",ROUND(Settings!$B$4/ABS(H30-I30),2))</f>
        <v/>
      </c>
      <c r="V30" s="13">
        <f>IF(M30="","",ROUND(M30*Settings!$B$4,2))</f>
        <v/>
      </c>
      <c r="W30" s="12">
        <f>IF(M30="","",SUM($M$2:M30))</f>
        <v/>
      </c>
      <c r="X30" s="12">
        <f>IF(M30="","",MAX(0,N(X29),W30))</f>
        <v/>
      </c>
      <c r="Y30" s="12">
        <f>IF(M30="","",X30-W30)</f>
        <v/>
      </c>
      <c r="Z30" s="12">
        <f>IF(M30="","",IF(M30&lt;0,N(Z29)+1,0))</f>
        <v/>
      </c>
    </row>
    <row r="31">
      <c r="H31" s="7" t="n"/>
      <c r="I31" s="7" t="n"/>
      <c r="J31" s="7" t="n"/>
      <c r="K31" s="7" t="n"/>
      <c r="M31" s="8" t="n"/>
      <c r="P31" s="9" t="n"/>
      <c r="Q31" s="10" t="n"/>
      <c r="R31" s="10" t="n"/>
      <c r="S31" s="11" t="n"/>
      <c r="U31" s="12">
        <f>IF(OR(H31="",I31=""),"",ROUND(Settings!$B$4/ABS(H31-I31),2))</f>
        <v/>
      </c>
      <c r="V31" s="13">
        <f>IF(M31="","",ROUND(M31*Settings!$B$4,2))</f>
        <v/>
      </c>
      <c r="W31" s="12">
        <f>IF(M31="","",SUM($M$2:M31))</f>
        <v/>
      </c>
      <c r="X31" s="12">
        <f>IF(M31="","",MAX(0,N(X30),W31))</f>
        <v/>
      </c>
      <c r="Y31" s="12">
        <f>IF(M31="","",X31-W31)</f>
        <v/>
      </c>
      <c r="Z31" s="12">
        <f>IF(M31="","",IF(M31&lt;0,N(Z30)+1,0))</f>
        <v/>
      </c>
    </row>
    <row r="32">
      <c r="H32" s="7" t="n"/>
      <c r="I32" s="7" t="n"/>
      <c r="J32" s="7" t="n"/>
      <c r="K32" s="7" t="n"/>
      <c r="M32" s="8" t="n"/>
      <c r="P32" s="9" t="n"/>
      <c r="Q32" s="10" t="n"/>
      <c r="R32" s="10" t="n"/>
      <c r="S32" s="11" t="n"/>
      <c r="U32" s="12">
        <f>IF(OR(H32="",I32=""),"",ROUND(Settings!$B$4/ABS(H32-I32),2))</f>
        <v/>
      </c>
      <c r="V32" s="13">
        <f>IF(M32="","",ROUND(M32*Settings!$B$4,2))</f>
        <v/>
      </c>
      <c r="W32" s="12">
        <f>IF(M32="","",SUM($M$2:M32))</f>
        <v/>
      </c>
      <c r="X32" s="12">
        <f>IF(M32="","",MAX(0,N(X31),W32))</f>
        <v/>
      </c>
      <c r="Y32" s="12">
        <f>IF(M32="","",X32-W32)</f>
        <v/>
      </c>
      <c r="Z32" s="12">
        <f>IF(M32="","",IF(M32&lt;0,N(Z31)+1,0))</f>
        <v/>
      </c>
    </row>
    <row r="33">
      <c r="H33" s="7" t="n"/>
      <c r="I33" s="7" t="n"/>
      <c r="J33" s="7" t="n"/>
      <c r="K33" s="7" t="n"/>
      <c r="M33" s="8" t="n"/>
      <c r="P33" s="9" t="n"/>
      <c r="Q33" s="10" t="n"/>
      <c r="R33" s="10" t="n"/>
      <c r="S33" s="11" t="n"/>
      <c r="U33" s="12">
        <f>IF(OR(H33="",I33=""),"",ROUND(Settings!$B$4/ABS(H33-I33),2))</f>
        <v/>
      </c>
      <c r="V33" s="13">
        <f>IF(M33="","",ROUND(M33*Settings!$B$4,2))</f>
        <v/>
      </c>
      <c r="W33" s="12">
        <f>IF(M33="","",SUM($M$2:M33))</f>
        <v/>
      </c>
      <c r="X33" s="12">
        <f>IF(M33="","",MAX(0,N(X32),W33))</f>
        <v/>
      </c>
      <c r="Y33" s="12">
        <f>IF(M33="","",X33-W33)</f>
        <v/>
      </c>
      <c r="Z33" s="12">
        <f>IF(M33="","",IF(M33&lt;0,N(Z32)+1,0))</f>
        <v/>
      </c>
    </row>
    <row r="34">
      <c r="H34" s="7" t="n"/>
      <c r="I34" s="7" t="n"/>
      <c r="J34" s="7" t="n"/>
      <c r="K34" s="7" t="n"/>
      <c r="M34" s="8" t="n"/>
      <c r="P34" s="9" t="n"/>
      <c r="Q34" s="10" t="n"/>
      <c r="R34" s="10" t="n"/>
      <c r="S34" s="11" t="n"/>
      <c r="U34" s="12">
        <f>IF(OR(H34="",I34=""),"",ROUND(Settings!$B$4/ABS(H34-I34),2))</f>
        <v/>
      </c>
      <c r="V34" s="13">
        <f>IF(M34="","",ROUND(M34*Settings!$B$4,2))</f>
        <v/>
      </c>
      <c r="W34" s="12">
        <f>IF(M34="","",SUM($M$2:M34))</f>
        <v/>
      </c>
      <c r="X34" s="12">
        <f>IF(M34="","",MAX(0,N(X33),W34))</f>
        <v/>
      </c>
      <c r="Y34" s="12">
        <f>IF(M34="","",X34-W34)</f>
        <v/>
      </c>
      <c r="Z34" s="12">
        <f>IF(M34="","",IF(M34&lt;0,N(Z33)+1,0))</f>
        <v/>
      </c>
    </row>
    <row r="35">
      <c r="H35" s="7" t="n"/>
      <c r="I35" s="7" t="n"/>
      <c r="J35" s="7" t="n"/>
      <c r="K35" s="7" t="n"/>
      <c r="M35" s="8" t="n"/>
      <c r="P35" s="9" t="n"/>
      <c r="Q35" s="10" t="n"/>
      <c r="R35" s="10" t="n"/>
      <c r="S35" s="11" t="n"/>
      <c r="U35" s="12">
        <f>IF(OR(H35="",I35=""),"",ROUND(Settings!$B$4/ABS(H35-I35),2))</f>
        <v/>
      </c>
      <c r="V35" s="13">
        <f>IF(M35="","",ROUND(M35*Settings!$B$4,2))</f>
        <v/>
      </c>
      <c r="W35" s="12">
        <f>IF(M35="","",SUM($M$2:M35))</f>
        <v/>
      </c>
      <c r="X35" s="12">
        <f>IF(M35="","",MAX(0,N(X34),W35))</f>
        <v/>
      </c>
      <c r="Y35" s="12">
        <f>IF(M35="","",X35-W35)</f>
        <v/>
      </c>
      <c r="Z35" s="12">
        <f>IF(M35="","",IF(M35&lt;0,N(Z34)+1,0))</f>
        <v/>
      </c>
    </row>
    <row r="36">
      <c r="H36" s="7" t="n"/>
      <c r="I36" s="7" t="n"/>
      <c r="J36" s="7" t="n"/>
      <c r="K36" s="7" t="n"/>
      <c r="M36" s="8" t="n"/>
      <c r="P36" s="9" t="n"/>
      <c r="Q36" s="10" t="n"/>
      <c r="R36" s="10" t="n"/>
      <c r="S36" s="11" t="n"/>
      <c r="U36" s="12">
        <f>IF(OR(H36="",I36=""),"",ROUND(Settings!$B$4/ABS(H36-I36),2))</f>
        <v/>
      </c>
      <c r="V36" s="13">
        <f>IF(M36="","",ROUND(M36*Settings!$B$4,2))</f>
        <v/>
      </c>
      <c r="W36" s="12">
        <f>IF(M36="","",SUM($M$2:M36))</f>
        <v/>
      </c>
      <c r="X36" s="12">
        <f>IF(M36="","",MAX(0,N(X35),W36))</f>
        <v/>
      </c>
      <c r="Y36" s="12">
        <f>IF(M36="","",X36-W36)</f>
        <v/>
      </c>
      <c r="Z36" s="12">
        <f>IF(M36="","",IF(M36&lt;0,N(Z35)+1,0))</f>
        <v/>
      </c>
    </row>
    <row r="37">
      <c r="H37" s="7" t="n"/>
      <c r="I37" s="7" t="n"/>
      <c r="J37" s="7" t="n"/>
      <c r="K37" s="7" t="n"/>
      <c r="M37" s="8" t="n"/>
      <c r="P37" s="9" t="n"/>
      <c r="Q37" s="10" t="n"/>
      <c r="R37" s="10" t="n"/>
      <c r="S37" s="11" t="n"/>
      <c r="U37" s="12">
        <f>IF(OR(H37="",I37=""),"",ROUND(Settings!$B$4/ABS(H37-I37),2))</f>
        <v/>
      </c>
      <c r="V37" s="13">
        <f>IF(M37="","",ROUND(M37*Settings!$B$4,2))</f>
        <v/>
      </c>
      <c r="W37" s="12">
        <f>IF(M37="","",SUM($M$2:M37))</f>
        <v/>
      </c>
      <c r="X37" s="12">
        <f>IF(M37="","",MAX(0,N(X36),W37))</f>
        <v/>
      </c>
      <c r="Y37" s="12">
        <f>IF(M37="","",X37-W37)</f>
        <v/>
      </c>
      <c r="Z37" s="12">
        <f>IF(M37="","",IF(M37&lt;0,N(Z36)+1,0))</f>
        <v/>
      </c>
    </row>
    <row r="38">
      <c r="H38" s="7" t="n"/>
      <c r="I38" s="7" t="n"/>
      <c r="J38" s="7" t="n"/>
      <c r="K38" s="7" t="n"/>
      <c r="M38" s="8" t="n"/>
      <c r="P38" s="9" t="n"/>
      <c r="Q38" s="10" t="n"/>
      <c r="R38" s="10" t="n"/>
      <c r="S38" s="11" t="n"/>
      <c r="U38" s="12">
        <f>IF(OR(H38="",I38=""),"",ROUND(Settings!$B$4/ABS(H38-I38),2))</f>
        <v/>
      </c>
      <c r="V38" s="13">
        <f>IF(M38="","",ROUND(M38*Settings!$B$4,2))</f>
        <v/>
      </c>
      <c r="W38" s="12">
        <f>IF(M38="","",SUM($M$2:M38))</f>
        <v/>
      </c>
      <c r="X38" s="12">
        <f>IF(M38="","",MAX(0,N(X37),W38))</f>
        <v/>
      </c>
      <c r="Y38" s="12">
        <f>IF(M38="","",X38-W38)</f>
        <v/>
      </c>
      <c r="Z38" s="12">
        <f>IF(M38="","",IF(M38&lt;0,N(Z37)+1,0))</f>
        <v/>
      </c>
    </row>
    <row r="39">
      <c r="H39" s="7" t="n"/>
      <c r="I39" s="7" t="n"/>
      <c r="J39" s="7" t="n"/>
      <c r="K39" s="7" t="n"/>
      <c r="M39" s="8" t="n"/>
      <c r="P39" s="9" t="n"/>
      <c r="Q39" s="10" t="n"/>
      <c r="R39" s="10" t="n"/>
      <c r="S39" s="11" t="n"/>
      <c r="U39" s="12">
        <f>IF(OR(H39="",I39=""),"",ROUND(Settings!$B$4/ABS(H39-I39),2))</f>
        <v/>
      </c>
      <c r="V39" s="13">
        <f>IF(M39="","",ROUND(M39*Settings!$B$4,2))</f>
        <v/>
      </c>
      <c r="W39" s="12">
        <f>IF(M39="","",SUM($M$2:M39))</f>
        <v/>
      </c>
      <c r="X39" s="12">
        <f>IF(M39="","",MAX(0,N(X38),W39))</f>
        <v/>
      </c>
      <c r="Y39" s="12">
        <f>IF(M39="","",X39-W39)</f>
        <v/>
      </c>
      <c r="Z39" s="12">
        <f>IF(M39="","",IF(M39&lt;0,N(Z38)+1,0))</f>
        <v/>
      </c>
    </row>
    <row r="40">
      <c r="H40" s="7" t="n"/>
      <c r="I40" s="7" t="n"/>
      <c r="J40" s="7" t="n"/>
      <c r="K40" s="7" t="n"/>
      <c r="M40" s="8" t="n"/>
      <c r="P40" s="9" t="n"/>
      <c r="Q40" s="10" t="n"/>
      <c r="R40" s="10" t="n"/>
      <c r="S40" s="11" t="n"/>
      <c r="U40" s="12">
        <f>IF(OR(H40="",I40=""),"",ROUND(Settings!$B$4/ABS(H40-I40),2))</f>
        <v/>
      </c>
      <c r="V40" s="13">
        <f>IF(M40="","",ROUND(M40*Settings!$B$4,2))</f>
        <v/>
      </c>
      <c r="W40" s="12">
        <f>IF(M40="","",SUM($M$2:M40))</f>
        <v/>
      </c>
      <c r="X40" s="12">
        <f>IF(M40="","",MAX(0,N(X39),W40))</f>
        <v/>
      </c>
      <c r="Y40" s="12">
        <f>IF(M40="","",X40-W40)</f>
        <v/>
      </c>
      <c r="Z40" s="12">
        <f>IF(M40="","",IF(M40&lt;0,N(Z39)+1,0))</f>
        <v/>
      </c>
    </row>
    <row r="41">
      <c r="H41" s="7" t="n"/>
      <c r="I41" s="7" t="n"/>
      <c r="J41" s="7" t="n"/>
      <c r="K41" s="7" t="n"/>
      <c r="M41" s="8" t="n"/>
      <c r="P41" s="9" t="n"/>
      <c r="Q41" s="10" t="n"/>
      <c r="R41" s="10" t="n"/>
      <c r="S41" s="11" t="n"/>
      <c r="U41" s="12">
        <f>IF(OR(H41="",I41=""),"",ROUND(Settings!$B$4/ABS(H41-I41),2))</f>
        <v/>
      </c>
      <c r="V41" s="13">
        <f>IF(M41="","",ROUND(M41*Settings!$B$4,2))</f>
        <v/>
      </c>
      <c r="W41" s="12">
        <f>IF(M41="","",SUM($M$2:M41))</f>
        <v/>
      </c>
      <c r="X41" s="12">
        <f>IF(M41="","",MAX(0,N(X40),W41))</f>
        <v/>
      </c>
      <c r="Y41" s="12">
        <f>IF(M41="","",X41-W41)</f>
        <v/>
      </c>
      <c r="Z41" s="12">
        <f>IF(M41="","",IF(M41&lt;0,N(Z40)+1,0))</f>
        <v/>
      </c>
    </row>
    <row r="42">
      <c r="H42" s="7" t="n"/>
      <c r="I42" s="7" t="n"/>
      <c r="J42" s="7" t="n"/>
      <c r="K42" s="7" t="n"/>
      <c r="M42" s="8" t="n"/>
      <c r="P42" s="9" t="n"/>
      <c r="Q42" s="10" t="n"/>
      <c r="R42" s="10" t="n"/>
      <c r="S42" s="11" t="n"/>
      <c r="U42" s="12">
        <f>IF(OR(H42="",I42=""),"",ROUND(Settings!$B$4/ABS(H42-I42),2))</f>
        <v/>
      </c>
      <c r="V42" s="13">
        <f>IF(M42="","",ROUND(M42*Settings!$B$4,2))</f>
        <v/>
      </c>
      <c r="W42" s="12">
        <f>IF(M42="","",SUM($M$2:M42))</f>
        <v/>
      </c>
      <c r="X42" s="12">
        <f>IF(M42="","",MAX(0,N(X41),W42))</f>
        <v/>
      </c>
      <c r="Y42" s="12">
        <f>IF(M42="","",X42-W42)</f>
        <v/>
      </c>
      <c r="Z42" s="12">
        <f>IF(M42="","",IF(M42&lt;0,N(Z41)+1,0))</f>
        <v/>
      </c>
    </row>
    <row r="43">
      <c r="H43" s="7" t="n"/>
      <c r="I43" s="7" t="n"/>
      <c r="J43" s="7" t="n"/>
      <c r="K43" s="7" t="n"/>
      <c r="M43" s="8" t="n"/>
      <c r="P43" s="9" t="n"/>
      <c r="Q43" s="10" t="n"/>
      <c r="R43" s="10" t="n"/>
      <c r="S43" s="11" t="n"/>
      <c r="U43" s="12">
        <f>IF(OR(H43="",I43=""),"",ROUND(Settings!$B$4/ABS(H43-I43),2))</f>
        <v/>
      </c>
      <c r="V43" s="13">
        <f>IF(M43="","",ROUND(M43*Settings!$B$4,2))</f>
        <v/>
      </c>
      <c r="W43" s="12">
        <f>IF(M43="","",SUM($M$2:M43))</f>
        <v/>
      </c>
      <c r="X43" s="12">
        <f>IF(M43="","",MAX(0,N(X42),W43))</f>
        <v/>
      </c>
      <c r="Y43" s="12">
        <f>IF(M43="","",X43-W43)</f>
        <v/>
      </c>
      <c r="Z43" s="12">
        <f>IF(M43="","",IF(M43&lt;0,N(Z42)+1,0))</f>
        <v/>
      </c>
    </row>
    <row r="44">
      <c r="H44" s="7" t="n"/>
      <c r="I44" s="7" t="n"/>
      <c r="J44" s="7" t="n"/>
      <c r="K44" s="7" t="n"/>
      <c r="M44" s="8" t="n"/>
      <c r="P44" s="9" t="n"/>
      <c r="Q44" s="10" t="n"/>
      <c r="R44" s="10" t="n"/>
      <c r="S44" s="11" t="n"/>
      <c r="U44" s="12">
        <f>IF(OR(H44="",I44=""),"",ROUND(Settings!$B$4/ABS(H44-I44),2))</f>
        <v/>
      </c>
      <c r="V44" s="13">
        <f>IF(M44="","",ROUND(M44*Settings!$B$4,2))</f>
        <v/>
      </c>
      <c r="W44" s="12">
        <f>IF(M44="","",SUM($M$2:M44))</f>
        <v/>
      </c>
      <c r="X44" s="12">
        <f>IF(M44="","",MAX(0,N(X43),W44))</f>
        <v/>
      </c>
      <c r="Y44" s="12">
        <f>IF(M44="","",X44-W44)</f>
        <v/>
      </c>
      <c r="Z44" s="12">
        <f>IF(M44="","",IF(M44&lt;0,N(Z43)+1,0))</f>
        <v/>
      </c>
    </row>
    <row r="45">
      <c r="H45" s="7" t="n"/>
      <c r="I45" s="7" t="n"/>
      <c r="J45" s="7" t="n"/>
      <c r="K45" s="7" t="n"/>
      <c r="M45" s="8" t="n"/>
      <c r="P45" s="9" t="n"/>
      <c r="Q45" s="10" t="n"/>
      <c r="R45" s="10" t="n"/>
      <c r="S45" s="11" t="n"/>
      <c r="U45" s="12">
        <f>IF(OR(H45="",I45=""),"",ROUND(Settings!$B$4/ABS(H45-I45),2))</f>
        <v/>
      </c>
      <c r="V45" s="13">
        <f>IF(M45="","",ROUND(M45*Settings!$B$4,2))</f>
        <v/>
      </c>
      <c r="W45" s="12">
        <f>IF(M45="","",SUM($M$2:M45))</f>
        <v/>
      </c>
      <c r="X45" s="12">
        <f>IF(M45="","",MAX(0,N(X44),W45))</f>
        <v/>
      </c>
      <c r="Y45" s="12">
        <f>IF(M45="","",X45-W45)</f>
        <v/>
      </c>
      <c r="Z45" s="12">
        <f>IF(M45="","",IF(M45&lt;0,N(Z44)+1,0))</f>
        <v/>
      </c>
    </row>
    <row r="46">
      <c r="H46" s="7" t="n"/>
      <c r="I46" s="7" t="n"/>
      <c r="J46" s="7" t="n"/>
      <c r="K46" s="7" t="n"/>
      <c r="M46" s="8" t="n"/>
      <c r="P46" s="9" t="n"/>
      <c r="Q46" s="10" t="n"/>
      <c r="R46" s="10" t="n"/>
      <c r="S46" s="11" t="n"/>
      <c r="U46" s="12">
        <f>IF(OR(H46="",I46=""),"",ROUND(Settings!$B$4/ABS(H46-I46),2))</f>
        <v/>
      </c>
      <c r="V46" s="13">
        <f>IF(M46="","",ROUND(M46*Settings!$B$4,2))</f>
        <v/>
      </c>
      <c r="W46" s="12">
        <f>IF(M46="","",SUM($M$2:M46))</f>
        <v/>
      </c>
      <c r="X46" s="12">
        <f>IF(M46="","",MAX(0,N(X45),W46))</f>
        <v/>
      </c>
      <c r="Y46" s="12">
        <f>IF(M46="","",X46-W46)</f>
        <v/>
      </c>
      <c r="Z46" s="12">
        <f>IF(M46="","",IF(M46&lt;0,N(Z45)+1,0))</f>
        <v/>
      </c>
    </row>
    <row r="47">
      <c r="H47" s="7" t="n"/>
      <c r="I47" s="7" t="n"/>
      <c r="J47" s="7" t="n"/>
      <c r="K47" s="7" t="n"/>
      <c r="M47" s="8" t="n"/>
      <c r="P47" s="9" t="n"/>
      <c r="Q47" s="10" t="n"/>
      <c r="R47" s="10" t="n"/>
      <c r="S47" s="11" t="n"/>
      <c r="U47" s="12">
        <f>IF(OR(H47="",I47=""),"",ROUND(Settings!$B$4/ABS(H47-I47),2))</f>
        <v/>
      </c>
      <c r="V47" s="13">
        <f>IF(M47="","",ROUND(M47*Settings!$B$4,2))</f>
        <v/>
      </c>
      <c r="W47" s="12">
        <f>IF(M47="","",SUM($M$2:M47))</f>
        <v/>
      </c>
      <c r="X47" s="12">
        <f>IF(M47="","",MAX(0,N(X46),W47))</f>
        <v/>
      </c>
      <c r="Y47" s="12">
        <f>IF(M47="","",X47-W47)</f>
        <v/>
      </c>
      <c r="Z47" s="12">
        <f>IF(M47="","",IF(M47&lt;0,N(Z46)+1,0))</f>
        <v/>
      </c>
    </row>
    <row r="48">
      <c r="H48" s="7" t="n"/>
      <c r="I48" s="7" t="n"/>
      <c r="J48" s="7" t="n"/>
      <c r="K48" s="7" t="n"/>
      <c r="M48" s="8" t="n"/>
      <c r="P48" s="9" t="n"/>
      <c r="Q48" s="10" t="n"/>
      <c r="R48" s="10" t="n"/>
      <c r="S48" s="11" t="n"/>
      <c r="U48" s="12">
        <f>IF(OR(H48="",I48=""),"",ROUND(Settings!$B$4/ABS(H48-I48),2))</f>
        <v/>
      </c>
      <c r="V48" s="13">
        <f>IF(M48="","",ROUND(M48*Settings!$B$4,2))</f>
        <v/>
      </c>
      <c r="W48" s="12">
        <f>IF(M48="","",SUM($M$2:M48))</f>
        <v/>
      </c>
      <c r="X48" s="12">
        <f>IF(M48="","",MAX(0,N(X47),W48))</f>
        <v/>
      </c>
      <c r="Y48" s="12">
        <f>IF(M48="","",X48-W48)</f>
        <v/>
      </c>
      <c r="Z48" s="12">
        <f>IF(M48="","",IF(M48&lt;0,N(Z47)+1,0))</f>
        <v/>
      </c>
    </row>
    <row r="49">
      <c r="H49" s="7" t="n"/>
      <c r="I49" s="7" t="n"/>
      <c r="J49" s="7" t="n"/>
      <c r="K49" s="7" t="n"/>
      <c r="M49" s="8" t="n"/>
      <c r="P49" s="9" t="n"/>
      <c r="Q49" s="10" t="n"/>
      <c r="R49" s="10" t="n"/>
      <c r="S49" s="11" t="n"/>
      <c r="U49" s="12">
        <f>IF(OR(H49="",I49=""),"",ROUND(Settings!$B$4/ABS(H49-I49),2))</f>
        <v/>
      </c>
      <c r="V49" s="13">
        <f>IF(M49="","",ROUND(M49*Settings!$B$4,2))</f>
        <v/>
      </c>
      <c r="W49" s="12">
        <f>IF(M49="","",SUM($M$2:M49))</f>
        <v/>
      </c>
      <c r="X49" s="12">
        <f>IF(M49="","",MAX(0,N(X48),W49))</f>
        <v/>
      </c>
      <c r="Y49" s="12">
        <f>IF(M49="","",X49-W49)</f>
        <v/>
      </c>
      <c r="Z49" s="12">
        <f>IF(M49="","",IF(M49&lt;0,N(Z48)+1,0))</f>
        <v/>
      </c>
    </row>
    <row r="50">
      <c r="H50" s="7" t="n"/>
      <c r="I50" s="7" t="n"/>
      <c r="J50" s="7" t="n"/>
      <c r="K50" s="7" t="n"/>
      <c r="M50" s="8" t="n"/>
      <c r="P50" s="9" t="n"/>
      <c r="Q50" s="10" t="n"/>
      <c r="R50" s="10" t="n"/>
      <c r="S50" s="11" t="n"/>
      <c r="U50" s="12">
        <f>IF(OR(H50="",I50=""),"",ROUND(Settings!$B$4/ABS(H50-I50),2))</f>
        <v/>
      </c>
      <c r="V50" s="13">
        <f>IF(M50="","",ROUND(M50*Settings!$B$4,2))</f>
        <v/>
      </c>
      <c r="W50" s="12">
        <f>IF(M50="","",SUM($M$2:M50))</f>
        <v/>
      </c>
      <c r="X50" s="12">
        <f>IF(M50="","",MAX(0,N(X49),W50))</f>
        <v/>
      </c>
      <c r="Y50" s="12">
        <f>IF(M50="","",X50-W50)</f>
        <v/>
      </c>
      <c r="Z50" s="12">
        <f>IF(M50="","",IF(M50&lt;0,N(Z49)+1,0))</f>
        <v/>
      </c>
    </row>
    <row r="51">
      <c r="H51" s="7" t="n"/>
      <c r="I51" s="7" t="n"/>
      <c r="J51" s="7" t="n"/>
      <c r="K51" s="7" t="n"/>
      <c r="M51" s="8" t="n"/>
      <c r="P51" s="9" t="n"/>
      <c r="Q51" s="10" t="n"/>
      <c r="R51" s="10" t="n"/>
      <c r="S51" s="11" t="n"/>
      <c r="U51" s="12">
        <f>IF(OR(H51="",I51=""),"",ROUND(Settings!$B$4/ABS(H51-I51),2))</f>
        <v/>
      </c>
      <c r="V51" s="13">
        <f>IF(M51="","",ROUND(M51*Settings!$B$4,2))</f>
        <v/>
      </c>
      <c r="W51" s="12">
        <f>IF(M51="","",SUM($M$2:M51))</f>
        <v/>
      </c>
      <c r="X51" s="12">
        <f>IF(M51="","",MAX(0,N(X50),W51))</f>
        <v/>
      </c>
      <c r="Y51" s="12">
        <f>IF(M51="","",X51-W51)</f>
        <v/>
      </c>
      <c r="Z51" s="12">
        <f>IF(M51="","",IF(M51&lt;0,N(Z50)+1,0))</f>
        <v/>
      </c>
    </row>
    <row r="52">
      <c r="H52" s="7" t="n"/>
      <c r="I52" s="7" t="n"/>
      <c r="J52" s="7" t="n"/>
      <c r="K52" s="7" t="n"/>
      <c r="M52" s="8" t="n"/>
      <c r="P52" s="9" t="n"/>
      <c r="Q52" s="10" t="n"/>
      <c r="R52" s="10" t="n"/>
      <c r="S52" s="11" t="n"/>
      <c r="U52" s="12">
        <f>IF(OR(H52="",I52=""),"",ROUND(Settings!$B$4/ABS(H52-I52),2))</f>
        <v/>
      </c>
      <c r="V52" s="13">
        <f>IF(M52="","",ROUND(M52*Settings!$B$4,2))</f>
        <v/>
      </c>
      <c r="W52" s="12">
        <f>IF(M52="","",SUM($M$2:M52))</f>
        <v/>
      </c>
      <c r="X52" s="12">
        <f>IF(M52="","",MAX(0,N(X51),W52))</f>
        <v/>
      </c>
      <c r="Y52" s="12">
        <f>IF(M52="","",X52-W52)</f>
        <v/>
      </c>
      <c r="Z52" s="12">
        <f>IF(M52="","",IF(M52&lt;0,N(Z51)+1,0))</f>
        <v/>
      </c>
    </row>
    <row r="53">
      <c r="H53" s="7" t="n"/>
      <c r="I53" s="7" t="n"/>
      <c r="J53" s="7" t="n"/>
      <c r="K53" s="7" t="n"/>
      <c r="M53" s="8" t="n"/>
      <c r="P53" s="9" t="n"/>
      <c r="Q53" s="10" t="n"/>
      <c r="R53" s="10" t="n"/>
      <c r="S53" s="11" t="n"/>
      <c r="U53" s="12">
        <f>IF(OR(H53="",I53=""),"",ROUND(Settings!$B$4/ABS(H53-I53),2))</f>
        <v/>
      </c>
      <c r="V53" s="13">
        <f>IF(M53="","",ROUND(M53*Settings!$B$4,2))</f>
        <v/>
      </c>
      <c r="W53" s="12">
        <f>IF(M53="","",SUM($M$2:M53))</f>
        <v/>
      </c>
      <c r="X53" s="12">
        <f>IF(M53="","",MAX(0,N(X52),W53))</f>
        <v/>
      </c>
      <c r="Y53" s="12">
        <f>IF(M53="","",X53-W53)</f>
        <v/>
      </c>
      <c r="Z53" s="12">
        <f>IF(M53="","",IF(M53&lt;0,N(Z52)+1,0))</f>
        <v/>
      </c>
    </row>
    <row r="54">
      <c r="H54" s="7" t="n"/>
      <c r="I54" s="7" t="n"/>
      <c r="J54" s="7" t="n"/>
      <c r="K54" s="7" t="n"/>
      <c r="M54" s="8" t="n"/>
      <c r="P54" s="9" t="n"/>
      <c r="Q54" s="10" t="n"/>
      <c r="R54" s="10" t="n"/>
      <c r="S54" s="11" t="n"/>
      <c r="U54" s="12">
        <f>IF(OR(H54="",I54=""),"",ROUND(Settings!$B$4/ABS(H54-I54),2))</f>
        <v/>
      </c>
      <c r="V54" s="13">
        <f>IF(M54="","",ROUND(M54*Settings!$B$4,2))</f>
        <v/>
      </c>
      <c r="W54" s="12">
        <f>IF(M54="","",SUM($M$2:M54))</f>
        <v/>
      </c>
      <c r="X54" s="12">
        <f>IF(M54="","",MAX(0,N(X53),W54))</f>
        <v/>
      </c>
      <c r="Y54" s="12">
        <f>IF(M54="","",X54-W54)</f>
        <v/>
      </c>
      <c r="Z54" s="12">
        <f>IF(M54="","",IF(M54&lt;0,N(Z53)+1,0))</f>
        <v/>
      </c>
    </row>
    <row r="55">
      <c r="H55" s="7" t="n"/>
      <c r="I55" s="7" t="n"/>
      <c r="J55" s="7" t="n"/>
      <c r="K55" s="7" t="n"/>
      <c r="M55" s="8" t="n"/>
      <c r="P55" s="9" t="n"/>
      <c r="Q55" s="10" t="n"/>
      <c r="R55" s="10" t="n"/>
      <c r="S55" s="11" t="n"/>
      <c r="U55" s="12">
        <f>IF(OR(H55="",I55=""),"",ROUND(Settings!$B$4/ABS(H55-I55),2))</f>
        <v/>
      </c>
      <c r="V55" s="13">
        <f>IF(M55="","",ROUND(M55*Settings!$B$4,2))</f>
        <v/>
      </c>
      <c r="W55" s="12">
        <f>IF(M55="","",SUM($M$2:M55))</f>
        <v/>
      </c>
      <c r="X55" s="12">
        <f>IF(M55="","",MAX(0,N(X54),W55))</f>
        <v/>
      </c>
      <c r="Y55" s="12">
        <f>IF(M55="","",X55-W55)</f>
        <v/>
      </c>
      <c r="Z55" s="12">
        <f>IF(M55="","",IF(M55&lt;0,N(Z54)+1,0))</f>
        <v/>
      </c>
    </row>
    <row r="56">
      <c r="H56" s="7" t="n"/>
      <c r="I56" s="7" t="n"/>
      <c r="J56" s="7" t="n"/>
      <c r="K56" s="7" t="n"/>
      <c r="M56" s="8" t="n"/>
      <c r="P56" s="9" t="n"/>
      <c r="Q56" s="10" t="n"/>
      <c r="R56" s="10" t="n"/>
      <c r="S56" s="11" t="n"/>
      <c r="U56" s="12">
        <f>IF(OR(H56="",I56=""),"",ROUND(Settings!$B$4/ABS(H56-I56),2))</f>
        <v/>
      </c>
      <c r="V56" s="13">
        <f>IF(M56="","",ROUND(M56*Settings!$B$4,2))</f>
        <v/>
      </c>
      <c r="W56" s="12">
        <f>IF(M56="","",SUM($M$2:M56))</f>
        <v/>
      </c>
      <c r="X56" s="12">
        <f>IF(M56="","",MAX(0,N(X55),W56))</f>
        <v/>
      </c>
      <c r="Y56" s="12">
        <f>IF(M56="","",X56-W56)</f>
        <v/>
      </c>
      <c r="Z56" s="12">
        <f>IF(M56="","",IF(M56&lt;0,N(Z55)+1,0))</f>
        <v/>
      </c>
    </row>
    <row r="57">
      <c r="H57" s="7" t="n"/>
      <c r="I57" s="7" t="n"/>
      <c r="J57" s="7" t="n"/>
      <c r="K57" s="7" t="n"/>
      <c r="M57" s="8" t="n"/>
      <c r="P57" s="9" t="n"/>
      <c r="Q57" s="10" t="n"/>
      <c r="R57" s="10" t="n"/>
      <c r="S57" s="11" t="n"/>
      <c r="U57" s="12">
        <f>IF(OR(H57="",I57=""),"",ROUND(Settings!$B$4/ABS(H57-I57),2))</f>
        <v/>
      </c>
      <c r="V57" s="13">
        <f>IF(M57="","",ROUND(M57*Settings!$B$4,2))</f>
        <v/>
      </c>
      <c r="W57" s="12">
        <f>IF(M57="","",SUM($M$2:M57))</f>
        <v/>
      </c>
      <c r="X57" s="12">
        <f>IF(M57="","",MAX(0,N(X56),W57))</f>
        <v/>
      </c>
      <c r="Y57" s="12">
        <f>IF(M57="","",X57-W57)</f>
        <v/>
      </c>
      <c r="Z57" s="12">
        <f>IF(M57="","",IF(M57&lt;0,N(Z56)+1,0))</f>
        <v/>
      </c>
    </row>
    <row r="58">
      <c r="H58" s="7" t="n"/>
      <c r="I58" s="7" t="n"/>
      <c r="J58" s="7" t="n"/>
      <c r="K58" s="7" t="n"/>
      <c r="M58" s="8" t="n"/>
      <c r="P58" s="9" t="n"/>
      <c r="Q58" s="10" t="n"/>
      <c r="R58" s="10" t="n"/>
      <c r="S58" s="11" t="n"/>
      <c r="U58" s="12">
        <f>IF(OR(H58="",I58=""),"",ROUND(Settings!$B$4/ABS(H58-I58),2))</f>
        <v/>
      </c>
      <c r="V58" s="13">
        <f>IF(M58="","",ROUND(M58*Settings!$B$4,2))</f>
        <v/>
      </c>
      <c r="W58" s="12">
        <f>IF(M58="","",SUM($M$2:M58))</f>
        <v/>
      </c>
      <c r="X58" s="12">
        <f>IF(M58="","",MAX(0,N(X57),W58))</f>
        <v/>
      </c>
      <c r="Y58" s="12">
        <f>IF(M58="","",X58-W58)</f>
        <v/>
      </c>
      <c r="Z58" s="12">
        <f>IF(M58="","",IF(M58&lt;0,N(Z57)+1,0))</f>
        <v/>
      </c>
    </row>
    <row r="59">
      <c r="H59" s="7" t="n"/>
      <c r="I59" s="7" t="n"/>
      <c r="J59" s="7" t="n"/>
      <c r="K59" s="7" t="n"/>
      <c r="M59" s="8" t="n"/>
      <c r="P59" s="9" t="n"/>
      <c r="Q59" s="10" t="n"/>
      <c r="R59" s="10" t="n"/>
      <c r="S59" s="11" t="n"/>
      <c r="U59" s="12">
        <f>IF(OR(H59="",I59=""),"",ROUND(Settings!$B$4/ABS(H59-I59),2))</f>
        <v/>
      </c>
      <c r="V59" s="13">
        <f>IF(M59="","",ROUND(M59*Settings!$B$4,2))</f>
        <v/>
      </c>
      <c r="W59" s="12">
        <f>IF(M59="","",SUM($M$2:M59))</f>
        <v/>
      </c>
      <c r="X59" s="12">
        <f>IF(M59="","",MAX(0,N(X58),W59))</f>
        <v/>
      </c>
      <c r="Y59" s="12">
        <f>IF(M59="","",X59-W59)</f>
        <v/>
      </c>
      <c r="Z59" s="12">
        <f>IF(M59="","",IF(M59&lt;0,N(Z58)+1,0))</f>
        <v/>
      </c>
    </row>
    <row r="60">
      <c r="H60" s="7" t="n"/>
      <c r="I60" s="7" t="n"/>
      <c r="J60" s="7" t="n"/>
      <c r="K60" s="7" t="n"/>
      <c r="M60" s="8" t="n"/>
      <c r="P60" s="9" t="n"/>
      <c r="Q60" s="10" t="n"/>
      <c r="R60" s="10" t="n"/>
      <c r="S60" s="11" t="n"/>
      <c r="U60" s="12">
        <f>IF(OR(H60="",I60=""),"",ROUND(Settings!$B$4/ABS(H60-I60),2))</f>
        <v/>
      </c>
      <c r="V60" s="13">
        <f>IF(M60="","",ROUND(M60*Settings!$B$4,2))</f>
        <v/>
      </c>
      <c r="W60" s="12">
        <f>IF(M60="","",SUM($M$2:M60))</f>
        <v/>
      </c>
      <c r="X60" s="12">
        <f>IF(M60="","",MAX(0,N(X59),W60))</f>
        <v/>
      </c>
      <c r="Y60" s="12">
        <f>IF(M60="","",X60-W60)</f>
        <v/>
      </c>
      <c r="Z60" s="12">
        <f>IF(M60="","",IF(M60&lt;0,N(Z59)+1,0))</f>
        <v/>
      </c>
    </row>
    <row r="61">
      <c r="H61" s="7" t="n"/>
      <c r="I61" s="7" t="n"/>
      <c r="J61" s="7" t="n"/>
      <c r="K61" s="7" t="n"/>
      <c r="M61" s="8" t="n"/>
      <c r="P61" s="9" t="n"/>
      <c r="Q61" s="10" t="n"/>
      <c r="R61" s="10" t="n"/>
      <c r="S61" s="11" t="n"/>
      <c r="U61" s="12">
        <f>IF(OR(H61="",I61=""),"",ROUND(Settings!$B$4/ABS(H61-I61),2))</f>
        <v/>
      </c>
      <c r="V61" s="13">
        <f>IF(M61="","",ROUND(M61*Settings!$B$4,2))</f>
        <v/>
      </c>
      <c r="W61" s="12">
        <f>IF(M61="","",SUM($M$2:M61))</f>
        <v/>
      </c>
      <c r="X61" s="12">
        <f>IF(M61="","",MAX(0,N(X60),W61))</f>
        <v/>
      </c>
      <c r="Y61" s="12">
        <f>IF(M61="","",X61-W61)</f>
        <v/>
      </c>
      <c r="Z61" s="12">
        <f>IF(M61="","",IF(M61&lt;0,N(Z60)+1,0))</f>
        <v/>
      </c>
    </row>
    <row r="62">
      <c r="H62" s="7" t="n"/>
      <c r="I62" s="7" t="n"/>
      <c r="J62" s="7" t="n"/>
      <c r="K62" s="7" t="n"/>
      <c r="M62" s="8" t="n"/>
      <c r="P62" s="9" t="n"/>
      <c r="Q62" s="10" t="n"/>
      <c r="R62" s="10" t="n"/>
      <c r="S62" s="11" t="n"/>
      <c r="U62" s="12">
        <f>IF(OR(H62="",I62=""),"",ROUND(Settings!$B$4/ABS(H62-I62),2))</f>
        <v/>
      </c>
      <c r="V62" s="13">
        <f>IF(M62="","",ROUND(M62*Settings!$B$4,2))</f>
        <v/>
      </c>
      <c r="W62" s="12">
        <f>IF(M62="","",SUM($M$2:M62))</f>
        <v/>
      </c>
      <c r="X62" s="12">
        <f>IF(M62="","",MAX(0,N(X61),W62))</f>
        <v/>
      </c>
      <c r="Y62" s="12">
        <f>IF(M62="","",X62-W62)</f>
        <v/>
      </c>
      <c r="Z62" s="12">
        <f>IF(M62="","",IF(M62&lt;0,N(Z61)+1,0))</f>
        <v/>
      </c>
    </row>
    <row r="63">
      <c r="H63" s="7" t="n"/>
      <c r="I63" s="7" t="n"/>
      <c r="J63" s="7" t="n"/>
      <c r="K63" s="7" t="n"/>
      <c r="M63" s="8" t="n"/>
      <c r="P63" s="9" t="n"/>
      <c r="Q63" s="10" t="n"/>
      <c r="R63" s="10" t="n"/>
      <c r="S63" s="11" t="n"/>
      <c r="U63" s="12">
        <f>IF(OR(H63="",I63=""),"",ROUND(Settings!$B$4/ABS(H63-I63),2))</f>
        <v/>
      </c>
      <c r="V63" s="13">
        <f>IF(M63="","",ROUND(M63*Settings!$B$4,2))</f>
        <v/>
      </c>
      <c r="W63" s="12">
        <f>IF(M63="","",SUM($M$2:M63))</f>
        <v/>
      </c>
      <c r="X63" s="12">
        <f>IF(M63="","",MAX(0,N(X62),W63))</f>
        <v/>
      </c>
      <c r="Y63" s="12">
        <f>IF(M63="","",X63-W63)</f>
        <v/>
      </c>
      <c r="Z63" s="12">
        <f>IF(M63="","",IF(M63&lt;0,N(Z62)+1,0))</f>
        <v/>
      </c>
    </row>
    <row r="64">
      <c r="H64" s="7" t="n"/>
      <c r="I64" s="7" t="n"/>
      <c r="J64" s="7" t="n"/>
      <c r="K64" s="7" t="n"/>
      <c r="M64" s="8" t="n"/>
      <c r="P64" s="9" t="n"/>
      <c r="Q64" s="10" t="n"/>
      <c r="R64" s="10" t="n"/>
      <c r="S64" s="11" t="n"/>
      <c r="U64" s="12">
        <f>IF(OR(H64="",I64=""),"",ROUND(Settings!$B$4/ABS(H64-I64),2))</f>
        <v/>
      </c>
      <c r="V64" s="13">
        <f>IF(M64="","",ROUND(M64*Settings!$B$4,2))</f>
        <v/>
      </c>
      <c r="W64" s="12">
        <f>IF(M64="","",SUM($M$2:M64))</f>
        <v/>
      </c>
      <c r="X64" s="12">
        <f>IF(M64="","",MAX(0,N(X63),W64))</f>
        <v/>
      </c>
      <c r="Y64" s="12">
        <f>IF(M64="","",X64-W64)</f>
        <v/>
      </c>
      <c r="Z64" s="12">
        <f>IF(M64="","",IF(M64&lt;0,N(Z63)+1,0))</f>
        <v/>
      </c>
    </row>
    <row r="65">
      <c r="H65" s="7" t="n"/>
      <c r="I65" s="7" t="n"/>
      <c r="J65" s="7" t="n"/>
      <c r="K65" s="7" t="n"/>
      <c r="M65" s="8" t="n"/>
      <c r="P65" s="9" t="n"/>
      <c r="Q65" s="10" t="n"/>
      <c r="R65" s="10" t="n"/>
      <c r="S65" s="11" t="n"/>
      <c r="U65" s="12">
        <f>IF(OR(H65="",I65=""),"",ROUND(Settings!$B$4/ABS(H65-I65),2))</f>
        <v/>
      </c>
      <c r="V65" s="13">
        <f>IF(M65="","",ROUND(M65*Settings!$B$4,2))</f>
        <v/>
      </c>
      <c r="W65" s="12">
        <f>IF(M65="","",SUM($M$2:M65))</f>
        <v/>
      </c>
      <c r="X65" s="12">
        <f>IF(M65="","",MAX(0,N(X64),W65))</f>
        <v/>
      </c>
      <c r="Y65" s="12">
        <f>IF(M65="","",X65-W65)</f>
        <v/>
      </c>
      <c r="Z65" s="12">
        <f>IF(M65="","",IF(M65&lt;0,N(Z64)+1,0))</f>
        <v/>
      </c>
    </row>
    <row r="66">
      <c r="H66" s="7" t="n"/>
      <c r="I66" s="7" t="n"/>
      <c r="J66" s="7" t="n"/>
      <c r="K66" s="7" t="n"/>
      <c r="M66" s="8" t="n"/>
      <c r="P66" s="9" t="n"/>
      <c r="Q66" s="10" t="n"/>
      <c r="R66" s="10" t="n"/>
      <c r="S66" s="11" t="n"/>
      <c r="U66" s="12">
        <f>IF(OR(H66="",I66=""),"",ROUND(Settings!$B$4/ABS(H66-I66),2))</f>
        <v/>
      </c>
      <c r="V66" s="13">
        <f>IF(M66="","",ROUND(M66*Settings!$B$4,2))</f>
        <v/>
      </c>
      <c r="W66" s="12">
        <f>IF(M66="","",SUM($M$2:M66))</f>
        <v/>
      </c>
      <c r="X66" s="12">
        <f>IF(M66="","",MAX(0,N(X65),W66))</f>
        <v/>
      </c>
      <c r="Y66" s="12">
        <f>IF(M66="","",X66-W66)</f>
        <v/>
      </c>
      <c r="Z66" s="12">
        <f>IF(M66="","",IF(M66&lt;0,N(Z65)+1,0))</f>
        <v/>
      </c>
    </row>
    <row r="67">
      <c r="H67" s="7" t="n"/>
      <c r="I67" s="7" t="n"/>
      <c r="J67" s="7" t="n"/>
      <c r="K67" s="7" t="n"/>
      <c r="M67" s="8" t="n"/>
      <c r="P67" s="9" t="n"/>
      <c r="Q67" s="10" t="n"/>
      <c r="R67" s="10" t="n"/>
      <c r="S67" s="11" t="n"/>
      <c r="U67" s="12">
        <f>IF(OR(H67="",I67=""),"",ROUND(Settings!$B$4/ABS(H67-I67),2))</f>
        <v/>
      </c>
      <c r="V67" s="13">
        <f>IF(M67="","",ROUND(M67*Settings!$B$4,2))</f>
        <v/>
      </c>
      <c r="W67" s="12">
        <f>IF(M67="","",SUM($M$2:M67))</f>
        <v/>
      </c>
      <c r="X67" s="12">
        <f>IF(M67="","",MAX(0,N(X66),W67))</f>
        <v/>
      </c>
      <c r="Y67" s="12">
        <f>IF(M67="","",X67-W67)</f>
        <v/>
      </c>
      <c r="Z67" s="12">
        <f>IF(M67="","",IF(M67&lt;0,N(Z66)+1,0))</f>
        <v/>
      </c>
    </row>
    <row r="68">
      <c r="H68" s="7" t="n"/>
      <c r="I68" s="7" t="n"/>
      <c r="J68" s="7" t="n"/>
      <c r="K68" s="7" t="n"/>
      <c r="M68" s="8" t="n"/>
      <c r="P68" s="9" t="n"/>
      <c r="Q68" s="10" t="n"/>
      <c r="R68" s="10" t="n"/>
      <c r="S68" s="11" t="n"/>
      <c r="U68" s="12">
        <f>IF(OR(H68="",I68=""),"",ROUND(Settings!$B$4/ABS(H68-I68),2))</f>
        <v/>
      </c>
      <c r="V68" s="13">
        <f>IF(M68="","",ROUND(M68*Settings!$B$4,2))</f>
        <v/>
      </c>
      <c r="W68" s="12">
        <f>IF(M68="","",SUM($M$2:M68))</f>
        <v/>
      </c>
      <c r="X68" s="12">
        <f>IF(M68="","",MAX(0,N(X67),W68))</f>
        <v/>
      </c>
      <c r="Y68" s="12">
        <f>IF(M68="","",X68-W68)</f>
        <v/>
      </c>
      <c r="Z68" s="12">
        <f>IF(M68="","",IF(M68&lt;0,N(Z67)+1,0))</f>
        <v/>
      </c>
    </row>
    <row r="69">
      <c r="H69" s="7" t="n"/>
      <c r="I69" s="7" t="n"/>
      <c r="J69" s="7" t="n"/>
      <c r="K69" s="7" t="n"/>
      <c r="M69" s="8" t="n"/>
      <c r="P69" s="9" t="n"/>
      <c r="Q69" s="10" t="n"/>
      <c r="R69" s="10" t="n"/>
      <c r="S69" s="11" t="n"/>
      <c r="U69" s="12">
        <f>IF(OR(H69="",I69=""),"",ROUND(Settings!$B$4/ABS(H69-I69),2))</f>
        <v/>
      </c>
      <c r="V69" s="13">
        <f>IF(M69="","",ROUND(M69*Settings!$B$4,2))</f>
        <v/>
      </c>
      <c r="W69" s="12">
        <f>IF(M69="","",SUM($M$2:M69))</f>
        <v/>
      </c>
      <c r="X69" s="12">
        <f>IF(M69="","",MAX(0,N(X68),W69))</f>
        <v/>
      </c>
      <c r="Y69" s="12">
        <f>IF(M69="","",X69-W69)</f>
        <v/>
      </c>
      <c r="Z69" s="12">
        <f>IF(M69="","",IF(M69&lt;0,N(Z68)+1,0))</f>
        <v/>
      </c>
    </row>
    <row r="70">
      <c r="H70" s="7" t="n"/>
      <c r="I70" s="7" t="n"/>
      <c r="J70" s="7" t="n"/>
      <c r="K70" s="7" t="n"/>
      <c r="M70" s="8" t="n"/>
      <c r="P70" s="9" t="n"/>
      <c r="Q70" s="10" t="n"/>
      <c r="R70" s="10" t="n"/>
      <c r="S70" s="11" t="n"/>
      <c r="U70" s="12">
        <f>IF(OR(H70="",I70=""),"",ROUND(Settings!$B$4/ABS(H70-I70),2))</f>
        <v/>
      </c>
      <c r="V70" s="13">
        <f>IF(M70="","",ROUND(M70*Settings!$B$4,2))</f>
        <v/>
      </c>
      <c r="W70" s="12">
        <f>IF(M70="","",SUM($M$2:M70))</f>
        <v/>
      </c>
      <c r="X70" s="12">
        <f>IF(M70="","",MAX(0,N(X69),W70))</f>
        <v/>
      </c>
      <c r="Y70" s="12">
        <f>IF(M70="","",X70-W70)</f>
        <v/>
      </c>
      <c r="Z70" s="12">
        <f>IF(M70="","",IF(M70&lt;0,N(Z69)+1,0))</f>
        <v/>
      </c>
    </row>
    <row r="71">
      <c r="H71" s="7" t="n"/>
      <c r="I71" s="7" t="n"/>
      <c r="J71" s="7" t="n"/>
      <c r="K71" s="7" t="n"/>
      <c r="M71" s="8" t="n"/>
      <c r="P71" s="9" t="n"/>
      <c r="Q71" s="10" t="n"/>
      <c r="R71" s="10" t="n"/>
      <c r="S71" s="11" t="n"/>
      <c r="U71" s="12">
        <f>IF(OR(H71="",I71=""),"",ROUND(Settings!$B$4/ABS(H71-I71),2))</f>
        <v/>
      </c>
      <c r="V71" s="13">
        <f>IF(M71="","",ROUND(M71*Settings!$B$4,2))</f>
        <v/>
      </c>
      <c r="W71" s="12">
        <f>IF(M71="","",SUM($M$2:M71))</f>
        <v/>
      </c>
      <c r="X71" s="12">
        <f>IF(M71="","",MAX(0,N(X70),W71))</f>
        <v/>
      </c>
      <c r="Y71" s="12">
        <f>IF(M71="","",X71-W71)</f>
        <v/>
      </c>
      <c r="Z71" s="12">
        <f>IF(M71="","",IF(M71&lt;0,N(Z70)+1,0))</f>
        <v/>
      </c>
    </row>
    <row r="72">
      <c r="H72" s="7" t="n"/>
      <c r="I72" s="7" t="n"/>
      <c r="J72" s="7" t="n"/>
      <c r="K72" s="7" t="n"/>
      <c r="M72" s="8" t="n"/>
      <c r="P72" s="9" t="n"/>
      <c r="Q72" s="10" t="n"/>
      <c r="R72" s="10" t="n"/>
      <c r="S72" s="11" t="n"/>
      <c r="U72" s="12">
        <f>IF(OR(H72="",I72=""),"",ROUND(Settings!$B$4/ABS(H72-I72),2))</f>
        <v/>
      </c>
      <c r="V72" s="13">
        <f>IF(M72="","",ROUND(M72*Settings!$B$4,2))</f>
        <v/>
      </c>
      <c r="W72" s="12">
        <f>IF(M72="","",SUM($M$2:M72))</f>
        <v/>
      </c>
      <c r="X72" s="12">
        <f>IF(M72="","",MAX(0,N(X71),W72))</f>
        <v/>
      </c>
      <c r="Y72" s="12">
        <f>IF(M72="","",X72-W72)</f>
        <v/>
      </c>
      <c r="Z72" s="12">
        <f>IF(M72="","",IF(M72&lt;0,N(Z71)+1,0))</f>
        <v/>
      </c>
    </row>
    <row r="73">
      <c r="H73" s="7" t="n"/>
      <c r="I73" s="7" t="n"/>
      <c r="J73" s="7" t="n"/>
      <c r="K73" s="7" t="n"/>
      <c r="M73" s="8" t="n"/>
      <c r="P73" s="9" t="n"/>
      <c r="Q73" s="10" t="n"/>
      <c r="R73" s="10" t="n"/>
      <c r="S73" s="11" t="n"/>
      <c r="U73" s="12">
        <f>IF(OR(H73="",I73=""),"",ROUND(Settings!$B$4/ABS(H73-I73),2))</f>
        <v/>
      </c>
      <c r="V73" s="13">
        <f>IF(M73="","",ROUND(M73*Settings!$B$4,2))</f>
        <v/>
      </c>
      <c r="W73" s="12">
        <f>IF(M73="","",SUM($M$2:M73))</f>
        <v/>
      </c>
      <c r="X73" s="12">
        <f>IF(M73="","",MAX(0,N(X72),W73))</f>
        <v/>
      </c>
      <c r="Y73" s="12">
        <f>IF(M73="","",X73-W73)</f>
        <v/>
      </c>
      <c r="Z73" s="12">
        <f>IF(M73="","",IF(M73&lt;0,N(Z72)+1,0))</f>
        <v/>
      </c>
    </row>
    <row r="74">
      <c r="H74" s="7" t="n"/>
      <c r="I74" s="7" t="n"/>
      <c r="J74" s="7" t="n"/>
      <c r="K74" s="7" t="n"/>
      <c r="M74" s="8" t="n"/>
      <c r="P74" s="9" t="n"/>
      <c r="Q74" s="10" t="n"/>
      <c r="R74" s="10" t="n"/>
      <c r="S74" s="11" t="n"/>
      <c r="U74" s="12">
        <f>IF(OR(H74="",I74=""),"",ROUND(Settings!$B$4/ABS(H74-I74),2))</f>
        <v/>
      </c>
      <c r="V74" s="13">
        <f>IF(M74="","",ROUND(M74*Settings!$B$4,2))</f>
        <v/>
      </c>
      <c r="W74" s="12">
        <f>IF(M74="","",SUM($M$2:M74))</f>
        <v/>
      </c>
      <c r="X74" s="12">
        <f>IF(M74="","",MAX(0,N(X73),W74))</f>
        <v/>
      </c>
      <c r="Y74" s="12">
        <f>IF(M74="","",X74-W74)</f>
        <v/>
      </c>
      <c r="Z74" s="12">
        <f>IF(M74="","",IF(M74&lt;0,N(Z73)+1,0))</f>
        <v/>
      </c>
    </row>
    <row r="75">
      <c r="H75" s="7" t="n"/>
      <c r="I75" s="7" t="n"/>
      <c r="J75" s="7" t="n"/>
      <c r="K75" s="7" t="n"/>
      <c r="M75" s="8" t="n"/>
      <c r="P75" s="9" t="n"/>
      <c r="Q75" s="10" t="n"/>
      <c r="R75" s="10" t="n"/>
      <c r="S75" s="11" t="n"/>
      <c r="U75" s="12">
        <f>IF(OR(H75="",I75=""),"",ROUND(Settings!$B$4/ABS(H75-I75),2))</f>
        <v/>
      </c>
      <c r="V75" s="13">
        <f>IF(M75="","",ROUND(M75*Settings!$B$4,2))</f>
        <v/>
      </c>
      <c r="W75" s="12">
        <f>IF(M75="","",SUM($M$2:M75))</f>
        <v/>
      </c>
      <c r="X75" s="12">
        <f>IF(M75="","",MAX(0,N(X74),W75))</f>
        <v/>
      </c>
      <c r="Y75" s="12">
        <f>IF(M75="","",X75-W75)</f>
        <v/>
      </c>
      <c r="Z75" s="12">
        <f>IF(M75="","",IF(M75&lt;0,N(Z74)+1,0))</f>
        <v/>
      </c>
    </row>
    <row r="76">
      <c r="H76" s="7" t="n"/>
      <c r="I76" s="7" t="n"/>
      <c r="J76" s="7" t="n"/>
      <c r="K76" s="7" t="n"/>
      <c r="M76" s="8" t="n"/>
      <c r="P76" s="9" t="n"/>
      <c r="Q76" s="10" t="n"/>
      <c r="R76" s="10" t="n"/>
      <c r="S76" s="11" t="n"/>
      <c r="U76" s="12">
        <f>IF(OR(H76="",I76=""),"",ROUND(Settings!$B$4/ABS(H76-I76),2))</f>
        <v/>
      </c>
      <c r="V76" s="13">
        <f>IF(M76="","",ROUND(M76*Settings!$B$4,2))</f>
        <v/>
      </c>
      <c r="W76" s="12">
        <f>IF(M76="","",SUM($M$2:M76))</f>
        <v/>
      </c>
      <c r="X76" s="12">
        <f>IF(M76="","",MAX(0,N(X75),W76))</f>
        <v/>
      </c>
      <c r="Y76" s="12">
        <f>IF(M76="","",X76-W76)</f>
        <v/>
      </c>
      <c r="Z76" s="12">
        <f>IF(M76="","",IF(M76&lt;0,N(Z75)+1,0))</f>
        <v/>
      </c>
    </row>
    <row r="77">
      <c r="H77" s="7" t="n"/>
      <c r="I77" s="7" t="n"/>
      <c r="J77" s="7" t="n"/>
      <c r="K77" s="7" t="n"/>
      <c r="M77" s="8" t="n"/>
      <c r="P77" s="9" t="n"/>
      <c r="Q77" s="10" t="n"/>
      <c r="R77" s="10" t="n"/>
      <c r="S77" s="11" t="n"/>
      <c r="U77" s="12">
        <f>IF(OR(H77="",I77=""),"",ROUND(Settings!$B$4/ABS(H77-I77),2))</f>
        <v/>
      </c>
      <c r="V77" s="13">
        <f>IF(M77="","",ROUND(M77*Settings!$B$4,2))</f>
        <v/>
      </c>
      <c r="W77" s="12">
        <f>IF(M77="","",SUM($M$2:M77))</f>
        <v/>
      </c>
      <c r="X77" s="12">
        <f>IF(M77="","",MAX(0,N(X76),W77))</f>
        <v/>
      </c>
      <c r="Y77" s="12">
        <f>IF(M77="","",X77-W77)</f>
        <v/>
      </c>
      <c r="Z77" s="12">
        <f>IF(M77="","",IF(M77&lt;0,N(Z76)+1,0))</f>
        <v/>
      </c>
    </row>
    <row r="78">
      <c r="H78" s="7" t="n"/>
      <c r="I78" s="7" t="n"/>
      <c r="J78" s="7" t="n"/>
      <c r="K78" s="7" t="n"/>
      <c r="M78" s="8" t="n"/>
      <c r="P78" s="9" t="n"/>
      <c r="Q78" s="10" t="n"/>
      <c r="R78" s="10" t="n"/>
      <c r="S78" s="11" t="n"/>
      <c r="U78" s="12">
        <f>IF(OR(H78="",I78=""),"",ROUND(Settings!$B$4/ABS(H78-I78),2))</f>
        <v/>
      </c>
      <c r="V78" s="13">
        <f>IF(M78="","",ROUND(M78*Settings!$B$4,2))</f>
        <v/>
      </c>
      <c r="W78" s="12">
        <f>IF(M78="","",SUM($M$2:M78))</f>
        <v/>
      </c>
      <c r="X78" s="12">
        <f>IF(M78="","",MAX(0,N(X77),W78))</f>
        <v/>
      </c>
      <c r="Y78" s="12">
        <f>IF(M78="","",X78-W78)</f>
        <v/>
      </c>
      <c r="Z78" s="12">
        <f>IF(M78="","",IF(M78&lt;0,N(Z77)+1,0))</f>
        <v/>
      </c>
    </row>
    <row r="79">
      <c r="H79" s="7" t="n"/>
      <c r="I79" s="7" t="n"/>
      <c r="J79" s="7" t="n"/>
      <c r="K79" s="7" t="n"/>
      <c r="M79" s="8" t="n"/>
      <c r="P79" s="9" t="n"/>
      <c r="Q79" s="10" t="n"/>
      <c r="R79" s="10" t="n"/>
      <c r="S79" s="11" t="n"/>
      <c r="U79" s="12">
        <f>IF(OR(H79="",I79=""),"",ROUND(Settings!$B$4/ABS(H79-I79),2))</f>
        <v/>
      </c>
      <c r="V79" s="13">
        <f>IF(M79="","",ROUND(M79*Settings!$B$4,2))</f>
        <v/>
      </c>
      <c r="W79" s="12">
        <f>IF(M79="","",SUM($M$2:M79))</f>
        <v/>
      </c>
      <c r="X79" s="12">
        <f>IF(M79="","",MAX(0,N(X78),W79))</f>
        <v/>
      </c>
      <c r="Y79" s="12">
        <f>IF(M79="","",X79-W79)</f>
        <v/>
      </c>
      <c r="Z79" s="12">
        <f>IF(M79="","",IF(M79&lt;0,N(Z78)+1,0))</f>
        <v/>
      </c>
    </row>
    <row r="80">
      <c r="H80" s="7" t="n"/>
      <c r="I80" s="7" t="n"/>
      <c r="J80" s="7" t="n"/>
      <c r="K80" s="7" t="n"/>
      <c r="M80" s="8" t="n"/>
      <c r="P80" s="9" t="n"/>
      <c r="Q80" s="10" t="n"/>
      <c r="R80" s="10" t="n"/>
      <c r="S80" s="11" t="n"/>
      <c r="U80" s="12">
        <f>IF(OR(H80="",I80=""),"",ROUND(Settings!$B$4/ABS(H80-I80),2))</f>
        <v/>
      </c>
      <c r="V80" s="13">
        <f>IF(M80="","",ROUND(M80*Settings!$B$4,2))</f>
        <v/>
      </c>
      <c r="W80" s="12">
        <f>IF(M80="","",SUM($M$2:M80))</f>
        <v/>
      </c>
      <c r="X80" s="12">
        <f>IF(M80="","",MAX(0,N(X79),W80))</f>
        <v/>
      </c>
      <c r="Y80" s="12">
        <f>IF(M80="","",X80-W80)</f>
        <v/>
      </c>
      <c r="Z80" s="12">
        <f>IF(M80="","",IF(M80&lt;0,N(Z79)+1,0))</f>
        <v/>
      </c>
    </row>
    <row r="81">
      <c r="H81" s="7" t="n"/>
      <c r="I81" s="7" t="n"/>
      <c r="J81" s="7" t="n"/>
      <c r="K81" s="7" t="n"/>
      <c r="M81" s="8" t="n"/>
      <c r="P81" s="9" t="n"/>
      <c r="Q81" s="10" t="n"/>
      <c r="R81" s="10" t="n"/>
      <c r="S81" s="11" t="n"/>
      <c r="U81" s="12">
        <f>IF(OR(H81="",I81=""),"",ROUND(Settings!$B$4/ABS(H81-I81),2))</f>
        <v/>
      </c>
      <c r="V81" s="13">
        <f>IF(M81="","",ROUND(M81*Settings!$B$4,2))</f>
        <v/>
      </c>
      <c r="W81" s="12">
        <f>IF(M81="","",SUM($M$2:M81))</f>
        <v/>
      </c>
      <c r="X81" s="12">
        <f>IF(M81="","",MAX(0,N(X80),W81))</f>
        <v/>
      </c>
      <c r="Y81" s="12">
        <f>IF(M81="","",X81-W81)</f>
        <v/>
      </c>
      <c r="Z81" s="12">
        <f>IF(M81="","",IF(M81&lt;0,N(Z80)+1,0))</f>
        <v/>
      </c>
    </row>
    <row r="82">
      <c r="H82" s="7" t="n"/>
      <c r="I82" s="7" t="n"/>
      <c r="J82" s="7" t="n"/>
      <c r="K82" s="7" t="n"/>
      <c r="M82" s="8" t="n"/>
      <c r="P82" s="9" t="n"/>
      <c r="Q82" s="10" t="n"/>
      <c r="R82" s="10" t="n"/>
      <c r="S82" s="11" t="n"/>
      <c r="U82" s="12">
        <f>IF(OR(H82="",I82=""),"",ROUND(Settings!$B$4/ABS(H82-I82),2))</f>
        <v/>
      </c>
      <c r="V82" s="13">
        <f>IF(M82="","",ROUND(M82*Settings!$B$4,2))</f>
        <v/>
      </c>
      <c r="W82" s="12">
        <f>IF(M82="","",SUM($M$2:M82))</f>
        <v/>
      </c>
      <c r="X82" s="12">
        <f>IF(M82="","",MAX(0,N(X81),W82))</f>
        <v/>
      </c>
      <c r="Y82" s="12">
        <f>IF(M82="","",X82-W82)</f>
        <v/>
      </c>
      <c r="Z82" s="12">
        <f>IF(M82="","",IF(M82&lt;0,N(Z81)+1,0))</f>
        <v/>
      </c>
    </row>
    <row r="83">
      <c r="H83" s="7" t="n"/>
      <c r="I83" s="7" t="n"/>
      <c r="J83" s="7" t="n"/>
      <c r="K83" s="7" t="n"/>
      <c r="M83" s="8" t="n"/>
      <c r="P83" s="9" t="n"/>
      <c r="Q83" s="10" t="n"/>
      <c r="R83" s="10" t="n"/>
      <c r="S83" s="11" t="n"/>
      <c r="U83" s="12">
        <f>IF(OR(H83="",I83=""),"",ROUND(Settings!$B$4/ABS(H83-I83),2))</f>
        <v/>
      </c>
      <c r="V83" s="13">
        <f>IF(M83="","",ROUND(M83*Settings!$B$4,2))</f>
        <v/>
      </c>
      <c r="W83" s="12">
        <f>IF(M83="","",SUM($M$2:M83))</f>
        <v/>
      </c>
      <c r="X83" s="12">
        <f>IF(M83="","",MAX(0,N(X82),W83))</f>
        <v/>
      </c>
      <c r="Y83" s="12">
        <f>IF(M83="","",X83-W83)</f>
        <v/>
      </c>
      <c r="Z83" s="12">
        <f>IF(M83="","",IF(M83&lt;0,N(Z82)+1,0))</f>
        <v/>
      </c>
    </row>
    <row r="84">
      <c r="H84" s="7" t="n"/>
      <c r="I84" s="7" t="n"/>
      <c r="J84" s="7" t="n"/>
      <c r="K84" s="7" t="n"/>
      <c r="M84" s="8" t="n"/>
      <c r="P84" s="9" t="n"/>
      <c r="Q84" s="10" t="n"/>
      <c r="R84" s="10" t="n"/>
      <c r="S84" s="11" t="n"/>
      <c r="U84" s="12">
        <f>IF(OR(H84="",I84=""),"",ROUND(Settings!$B$4/ABS(H84-I84),2))</f>
        <v/>
      </c>
      <c r="V84" s="13">
        <f>IF(M84="","",ROUND(M84*Settings!$B$4,2))</f>
        <v/>
      </c>
      <c r="W84" s="12">
        <f>IF(M84="","",SUM($M$2:M84))</f>
        <v/>
      </c>
      <c r="X84" s="12">
        <f>IF(M84="","",MAX(0,N(X83),W84))</f>
        <v/>
      </c>
      <c r="Y84" s="12">
        <f>IF(M84="","",X84-W84)</f>
        <v/>
      </c>
      <c r="Z84" s="12">
        <f>IF(M84="","",IF(M84&lt;0,N(Z83)+1,0))</f>
        <v/>
      </c>
    </row>
    <row r="85">
      <c r="H85" s="7" t="n"/>
      <c r="I85" s="7" t="n"/>
      <c r="J85" s="7" t="n"/>
      <c r="K85" s="7" t="n"/>
      <c r="M85" s="8" t="n"/>
      <c r="P85" s="9" t="n"/>
      <c r="Q85" s="10" t="n"/>
      <c r="R85" s="10" t="n"/>
      <c r="S85" s="11" t="n"/>
      <c r="U85" s="12">
        <f>IF(OR(H85="",I85=""),"",ROUND(Settings!$B$4/ABS(H85-I85),2))</f>
        <v/>
      </c>
      <c r="V85" s="13">
        <f>IF(M85="","",ROUND(M85*Settings!$B$4,2))</f>
        <v/>
      </c>
      <c r="W85" s="12">
        <f>IF(M85="","",SUM($M$2:M85))</f>
        <v/>
      </c>
      <c r="X85" s="12">
        <f>IF(M85="","",MAX(0,N(X84),W85))</f>
        <v/>
      </c>
      <c r="Y85" s="12">
        <f>IF(M85="","",X85-W85)</f>
        <v/>
      </c>
      <c r="Z85" s="12">
        <f>IF(M85="","",IF(M85&lt;0,N(Z84)+1,0))</f>
        <v/>
      </c>
    </row>
    <row r="86">
      <c r="H86" s="7" t="n"/>
      <c r="I86" s="7" t="n"/>
      <c r="J86" s="7" t="n"/>
      <c r="K86" s="7" t="n"/>
      <c r="M86" s="8" t="n"/>
      <c r="P86" s="9" t="n"/>
      <c r="Q86" s="10" t="n"/>
      <c r="R86" s="10" t="n"/>
      <c r="S86" s="11" t="n"/>
      <c r="U86" s="12">
        <f>IF(OR(H86="",I86=""),"",ROUND(Settings!$B$4/ABS(H86-I86),2))</f>
        <v/>
      </c>
      <c r="V86" s="13">
        <f>IF(M86="","",ROUND(M86*Settings!$B$4,2))</f>
        <v/>
      </c>
      <c r="W86" s="12">
        <f>IF(M86="","",SUM($M$2:M86))</f>
        <v/>
      </c>
      <c r="X86" s="12">
        <f>IF(M86="","",MAX(0,N(X85),W86))</f>
        <v/>
      </c>
      <c r="Y86" s="12">
        <f>IF(M86="","",X86-W86)</f>
        <v/>
      </c>
      <c r="Z86" s="12">
        <f>IF(M86="","",IF(M86&lt;0,N(Z85)+1,0))</f>
        <v/>
      </c>
    </row>
    <row r="87">
      <c r="H87" s="7" t="n"/>
      <c r="I87" s="7" t="n"/>
      <c r="J87" s="7" t="n"/>
      <c r="K87" s="7" t="n"/>
      <c r="M87" s="8" t="n"/>
      <c r="P87" s="9" t="n"/>
      <c r="Q87" s="10" t="n"/>
      <c r="R87" s="10" t="n"/>
      <c r="S87" s="11" t="n"/>
      <c r="U87" s="12">
        <f>IF(OR(H87="",I87=""),"",ROUND(Settings!$B$4/ABS(H87-I87),2))</f>
        <v/>
      </c>
      <c r="V87" s="13">
        <f>IF(M87="","",ROUND(M87*Settings!$B$4,2))</f>
        <v/>
      </c>
      <c r="W87" s="12">
        <f>IF(M87="","",SUM($M$2:M87))</f>
        <v/>
      </c>
      <c r="X87" s="12">
        <f>IF(M87="","",MAX(0,N(X86),W87))</f>
        <v/>
      </c>
      <c r="Y87" s="12">
        <f>IF(M87="","",X87-W87)</f>
        <v/>
      </c>
      <c r="Z87" s="12">
        <f>IF(M87="","",IF(M87&lt;0,N(Z86)+1,0))</f>
        <v/>
      </c>
    </row>
    <row r="88">
      <c r="H88" s="7" t="n"/>
      <c r="I88" s="7" t="n"/>
      <c r="J88" s="7" t="n"/>
      <c r="K88" s="7" t="n"/>
      <c r="M88" s="8" t="n"/>
      <c r="P88" s="9" t="n"/>
      <c r="Q88" s="10" t="n"/>
      <c r="R88" s="10" t="n"/>
      <c r="S88" s="11" t="n"/>
      <c r="U88" s="12">
        <f>IF(OR(H88="",I88=""),"",ROUND(Settings!$B$4/ABS(H88-I88),2))</f>
        <v/>
      </c>
      <c r="V88" s="13">
        <f>IF(M88="","",ROUND(M88*Settings!$B$4,2))</f>
        <v/>
      </c>
      <c r="W88" s="12">
        <f>IF(M88="","",SUM($M$2:M88))</f>
        <v/>
      </c>
      <c r="X88" s="12">
        <f>IF(M88="","",MAX(0,N(X87),W88))</f>
        <v/>
      </c>
      <c r="Y88" s="12">
        <f>IF(M88="","",X88-W88)</f>
        <v/>
      </c>
      <c r="Z88" s="12">
        <f>IF(M88="","",IF(M88&lt;0,N(Z87)+1,0))</f>
        <v/>
      </c>
    </row>
    <row r="89">
      <c r="H89" s="7" t="n"/>
      <c r="I89" s="7" t="n"/>
      <c r="J89" s="7" t="n"/>
      <c r="K89" s="7" t="n"/>
      <c r="M89" s="8" t="n"/>
      <c r="P89" s="9" t="n"/>
      <c r="Q89" s="10" t="n"/>
      <c r="R89" s="10" t="n"/>
      <c r="S89" s="11" t="n"/>
      <c r="U89" s="12">
        <f>IF(OR(H89="",I89=""),"",ROUND(Settings!$B$4/ABS(H89-I89),2))</f>
        <v/>
      </c>
      <c r="V89" s="13">
        <f>IF(M89="","",ROUND(M89*Settings!$B$4,2))</f>
        <v/>
      </c>
      <c r="W89" s="12">
        <f>IF(M89="","",SUM($M$2:M89))</f>
        <v/>
      </c>
      <c r="X89" s="12">
        <f>IF(M89="","",MAX(0,N(X88),W89))</f>
        <v/>
      </c>
      <c r="Y89" s="12">
        <f>IF(M89="","",X89-W89)</f>
        <v/>
      </c>
      <c r="Z89" s="12">
        <f>IF(M89="","",IF(M89&lt;0,N(Z88)+1,0))</f>
        <v/>
      </c>
    </row>
    <row r="90">
      <c r="H90" s="7" t="n"/>
      <c r="I90" s="7" t="n"/>
      <c r="J90" s="7" t="n"/>
      <c r="K90" s="7" t="n"/>
      <c r="M90" s="8" t="n"/>
      <c r="P90" s="9" t="n"/>
      <c r="Q90" s="10" t="n"/>
      <c r="R90" s="10" t="n"/>
      <c r="S90" s="11" t="n"/>
      <c r="U90" s="12">
        <f>IF(OR(H90="",I90=""),"",ROUND(Settings!$B$4/ABS(H90-I90),2))</f>
        <v/>
      </c>
      <c r="V90" s="13">
        <f>IF(M90="","",ROUND(M90*Settings!$B$4,2))</f>
        <v/>
      </c>
      <c r="W90" s="12">
        <f>IF(M90="","",SUM($M$2:M90))</f>
        <v/>
      </c>
      <c r="X90" s="12">
        <f>IF(M90="","",MAX(0,N(X89),W90))</f>
        <v/>
      </c>
      <c r="Y90" s="12">
        <f>IF(M90="","",X90-W90)</f>
        <v/>
      </c>
      <c r="Z90" s="12">
        <f>IF(M90="","",IF(M90&lt;0,N(Z89)+1,0))</f>
        <v/>
      </c>
    </row>
    <row r="91">
      <c r="H91" s="7" t="n"/>
      <c r="I91" s="7" t="n"/>
      <c r="J91" s="7" t="n"/>
      <c r="K91" s="7" t="n"/>
      <c r="M91" s="8" t="n"/>
      <c r="P91" s="9" t="n"/>
      <c r="Q91" s="10" t="n"/>
      <c r="R91" s="10" t="n"/>
      <c r="S91" s="11" t="n"/>
      <c r="U91" s="12">
        <f>IF(OR(H91="",I91=""),"",ROUND(Settings!$B$4/ABS(H91-I91),2))</f>
        <v/>
      </c>
      <c r="V91" s="13">
        <f>IF(M91="","",ROUND(M91*Settings!$B$4,2))</f>
        <v/>
      </c>
      <c r="W91" s="12">
        <f>IF(M91="","",SUM($M$2:M91))</f>
        <v/>
      </c>
      <c r="X91" s="12">
        <f>IF(M91="","",MAX(0,N(X90),W91))</f>
        <v/>
      </c>
      <c r="Y91" s="12">
        <f>IF(M91="","",X91-W91)</f>
        <v/>
      </c>
      <c r="Z91" s="12">
        <f>IF(M91="","",IF(M91&lt;0,N(Z90)+1,0))</f>
        <v/>
      </c>
    </row>
    <row r="92">
      <c r="H92" s="7" t="n"/>
      <c r="I92" s="7" t="n"/>
      <c r="J92" s="7" t="n"/>
      <c r="K92" s="7" t="n"/>
      <c r="M92" s="8" t="n"/>
      <c r="P92" s="9" t="n"/>
      <c r="Q92" s="10" t="n"/>
      <c r="R92" s="10" t="n"/>
      <c r="S92" s="11" t="n"/>
      <c r="U92" s="12">
        <f>IF(OR(H92="",I92=""),"",ROUND(Settings!$B$4/ABS(H92-I92),2))</f>
        <v/>
      </c>
      <c r="V92" s="13">
        <f>IF(M92="","",ROUND(M92*Settings!$B$4,2))</f>
        <v/>
      </c>
      <c r="W92" s="12">
        <f>IF(M92="","",SUM($M$2:M92))</f>
        <v/>
      </c>
      <c r="X92" s="12">
        <f>IF(M92="","",MAX(0,N(X91),W92))</f>
        <v/>
      </c>
      <c r="Y92" s="12">
        <f>IF(M92="","",X92-W92)</f>
        <v/>
      </c>
      <c r="Z92" s="12">
        <f>IF(M92="","",IF(M92&lt;0,N(Z91)+1,0))</f>
        <v/>
      </c>
    </row>
    <row r="93">
      <c r="H93" s="7" t="n"/>
      <c r="I93" s="7" t="n"/>
      <c r="J93" s="7" t="n"/>
      <c r="K93" s="7" t="n"/>
      <c r="M93" s="8" t="n"/>
      <c r="P93" s="9" t="n"/>
      <c r="Q93" s="10" t="n"/>
      <c r="R93" s="10" t="n"/>
      <c r="S93" s="11" t="n"/>
      <c r="U93" s="12">
        <f>IF(OR(H93="",I93=""),"",ROUND(Settings!$B$4/ABS(H93-I93),2))</f>
        <v/>
      </c>
      <c r="V93" s="13">
        <f>IF(M93="","",ROUND(M93*Settings!$B$4,2))</f>
        <v/>
      </c>
      <c r="W93" s="12">
        <f>IF(M93="","",SUM($M$2:M93))</f>
        <v/>
      </c>
      <c r="X93" s="12">
        <f>IF(M93="","",MAX(0,N(X92),W93))</f>
        <v/>
      </c>
      <c r="Y93" s="12">
        <f>IF(M93="","",X93-W93)</f>
        <v/>
      </c>
      <c r="Z93" s="12">
        <f>IF(M93="","",IF(M93&lt;0,N(Z92)+1,0))</f>
        <v/>
      </c>
    </row>
    <row r="94">
      <c r="H94" s="7" t="n"/>
      <c r="I94" s="7" t="n"/>
      <c r="J94" s="7" t="n"/>
      <c r="K94" s="7" t="n"/>
      <c r="M94" s="8" t="n"/>
      <c r="P94" s="9" t="n"/>
      <c r="Q94" s="10" t="n"/>
      <c r="R94" s="10" t="n"/>
      <c r="S94" s="11" t="n"/>
      <c r="U94" s="12">
        <f>IF(OR(H94="",I94=""),"",ROUND(Settings!$B$4/ABS(H94-I94),2))</f>
        <v/>
      </c>
      <c r="V94" s="13">
        <f>IF(M94="","",ROUND(M94*Settings!$B$4,2))</f>
        <v/>
      </c>
      <c r="W94" s="12">
        <f>IF(M94="","",SUM($M$2:M94))</f>
        <v/>
      </c>
      <c r="X94" s="12">
        <f>IF(M94="","",MAX(0,N(X93),W94))</f>
        <v/>
      </c>
      <c r="Y94" s="12">
        <f>IF(M94="","",X94-W94)</f>
        <v/>
      </c>
      <c r="Z94" s="12">
        <f>IF(M94="","",IF(M94&lt;0,N(Z93)+1,0))</f>
        <v/>
      </c>
    </row>
    <row r="95">
      <c r="H95" s="7" t="n"/>
      <c r="I95" s="7" t="n"/>
      <c r="J95" s="7" t="n"/>
      <c r="K95" s="7" t="n"/>
      <c r="M95" s="8" t="n"/>
      <c r="P95" s="9" t="n"/>
      <c r="Q95" s="10" t="n"/>
      <c r="R95" s="10" t="n"/>
      <c r="S95" s="11" t="n"/>
      <c r="U95" s="12">
        <f>IF(OR(H95="",I95=""),"",ROUND(Settings!$B$4/ABS(H95-I95),2))</f>
        <v/>
      </c>
      <c r="V95" s="13">
        <f>IF(M95="","",ROUND(M95*Settings!$B$4,2))</f>
        <v/>
      </c>
      <c r="W95" s="12">
        <f>IF(M95="","",SUM($M$2:M95))</f>
        <v/>
      </c>
      <c r="X95" s="12">
        <f>IF(M95="","",MAX(0,N(X94),W95))</f>
        <v/>
      </c>
      <c r="Y95" s="12">
        <f>IF(M95="","",X95-W95)</f>
        <v/>
      </c>
      <c r="Z95" s="12">
        <f>IF(M95="","",IF(M95&lt;0,N(Z94)+1,0))</f>
        <v/>
      </c>
    </row>
    <row r="96">
      <c r="H96" s="7" t="n"/>
      <c r="I96" s="7" t="n"/>
      <c r="J96" s="7" t="n"/>
      <c r="K96" s="7" t="n"/>
      <c r="M96" s="8" t="n"/>
      <c r="P96" s="9" t="n"/>
      <c r="Q96" s="10" t="n"/>
      <c r="R96" s="10" t="n"/>
      <c r="S96" s="11" t="n"/>
      <c r="U96" s="12">
        <f>IF(OR(H96="",I96=""),"",ROUND(Settings!$B$4/ABS(H96-I96),2))</f>
        <v/>
      </c>
      <c r="V96" s="13">
        <f>IF(M96="","",ROUND(M96*Settings!$B$4,2))</f>
        <v/>
      </c>
      <c r="W96" s="12">
        <f>IF(M96="","",SUM($M$2:M96))</f>
        <v/>
      </c>
      <c r="X96" s="12">
        <f>IF(M96="","",MAX(0,N(X95),W96))</f>
        <v/>
      </c>
      <c r="Y96" s="12">
        <f>IF(M96="","",X96-W96)</f>
        <v/>
      </c>
      <c r="Z96" s="12">
        <f>IF(M96="","",IF(M96&lt;0,N(Z95)+1,0))</f>
        <v/>
      </c>
    </row>
    <row r="97">
      <c r="H97" s="7" t="n"/>
      <c r="I97" s="7" t="n"/>
      <c r="J97" s="7" t="n"/>
      <c r="K97" s="7" t="n"/>
      <c r="M97" s="8" t="n"/>
      <c r="P97" s="9" t="n"/>
      <c r="Q97" s="10" t="n"/>
      <c r="R97" s="10" t="n"/>
      <c r="S97" s="11" t="n"/>
      <c r="U97" s="12">
        <f>IF(OR(H97="",I97=""),"",ROUND(Settings!$B$4/ABS(H97-I97),2))</f>
        <v/>
      </c>
      <c r="V97" s="13">
        <f>IF(M97="","",ROUND(M97*Settings!$B$4,2))</f>
        <v/>
      </c>
      <c r="W97" s="12">
        <f>IF(M97="","",SUM($M$2:M97))</f>
        <v/>
      </c>
      <c r="X97" s="12">
        <f>IF(M97="","",MAX(0,N(X96),W97))</f>
        <v/>
      </c>
      <c r="Y97" s="12">
        <f>IF(M97="","",X97-W97)</f>
        <v/>
      </c>
      <c r="Z97" s="12">
        <f>IF(M97="","",IF(M97&lt;0,N(Z96)+1,0))</f>
        <v/>
      </c>
    </row>
    <row r="98">
      <c r="H98" s="7" t="n"/>
      <c r="I98" s="7" t="n"/>
      <c r="J98" s="7" t="n"/>
      <c r="K98" s="7" t="n"/>
      <c r="M98" s="8" t="n"/>
      <c r="P98" s="9" t="n"/>
      <c r="Q98" s="10" t="n"/>
      <c r="R98" s="10" t="n"/>
      <c r="S98" s="11" t="n"/>
      <c r="U98" s="12">
        <f>IF(OR(H98="",I98=""),"",ROUND(Settings!$B$4/ABS(H98-I98),2))</f>
        <v/>
      </c>
      <c r="V98" s="13">
        <f>IF(M98="","",ROUND(M98*Settings!$B$4,2))</f>
        <v/>
      </c>
      <c r="W98" s="12">
        <f>IF(M98="","",SUM($M$2:M98))</f>
        <v/>
      </c>
      <c r="X98" s="12">
        <f>IF(M98="","",MAX(0,N(X97),W98))</f>
        <v/>
      </c>
      <c r="Y98" s="12">
        <f>IF(M98="","",X98-W98)</f>
        <v/>
      </c>
      <c r="Z98" s="12">
        <f>IF(M98="","",IF(M98&lt;0,N(Z97)+1,0))</f>
        <v/>
      </c>
    </row>
    <row r="99">
      <c r="H99" s="7" t="n"/>
      <c r="I99" s="7" t="n"/>
      <c r="J99" s="7" t="n"/>
      <c r="K99" s="7" t="n"/>
      <c r="M99" s="8" t="n"/>
      <c r="P99" s="9" t="n"/>
      <c r="Q99" s="10" t="n"/>
      <c r="R99" s="10" t="n"/>
      <c r="S99" s="11" t="n"/>
      <c r="U99" s="12">
        <f>IF(OR(H99="",I99=""),"",ROUND(Settings!$B$4/ABS(H99-I99),2))</f>
        <v/>
      </c>
      <c r="V99" s="13">
        <f>IF(M99="","",ROUND(M99*Settings!$B$4,2))</f>
        <v/>
      </c>
      <c r="W99" s="12">
        <f>IF(M99="","",SUM($M$2:M99))</f>
        <v/>
      </c>
      <c r="X99" s="12">
        <f>IF(M99="","",MAX(0,N(X98),W99))</f>
        <v/>
      </c>
      <c r="Y99" s="12">
        <f>IF(M99="","",X99-W99)</f>
        <v/>
      </c>
      <c r="Z99" s="12">
        <f>IF(M99="","",IF(M99&lt;0,N(Z98)+1,0))</f>
        <v/>
      </c>
    </row>
    <row r="100">
      <c r="H100" s="7" t="n"/>
      <c r="I100" s="7" t="n"/>
      <c r="J100" s="7" t="n"/>
      <c r="K100" s="7" t="n"/>
      <c r="M100" s="8" t="n"/>
      <c r="P100" s="9" t="n"/>
      <c r="Q100" s="10" t="n"/>
      <c r="R100" s="10" t="n"/>
      <c r="S100" s="11" t="n"/>
      <c r="U100" s="12">
        <f>IF(OR(H100="",I100=""),"",ROUND(Settings!$B$4/ABS(H100-I100),2))</f>
        <v/>
      </c>
      <c r="V100" s="13">
        <f>IF(M100="","",ROUND(M100*Settings!$B$4,2))</f>
        <v/>
      </c>
      <c r="W100" s="12">
        <f>IF(M100="","",SUM($M$2:M100))</f>
        <v/>
      </c>
      <c r="X100" s="12">
        <f>IF(M100="","",MAX(0,N(X99),W100))</f>
        <v/>
      </c>
      <c r="Y100" s="12">
        <f>IF(M100="","",X100-W100)</f>
        <v/>
      </c>
      <c r="Z100" s="12">
        <f>IF(M100="","",IF(M100&lt;0,N(Z99)+1,0))</f>
        <v/>
      </c>
    </row>
    <row r="101">
      <c r="H101" s="7" t="n"/>
      <c r="I101" s="7" t="n"/>
      <c r="J101" s="7" t="n"/>
      <c r="K101" s="7" t="n"/>
      <c r="M101" s="8" t="n"/>
      <c r="P101" s="9" t="n"/>
      <c r="Q101" s="10" t="n"/>
      <c r="R101" s="10" t="n"/>
      <c r="S101" s="11" t="n"/>
      <c r="U101" s="12">
        <f>IF(OR(H101="",I101=""),"",ROUND(Settings!$B$4/ABS(H101-I101),2))</f>
        <v/>
      </c>
      <c r="V101" s="13">
        <f>IF(M101="","",ROUND(M101*Settings!$B$4,2))</f>
        <v/>
      </c>
      <c r="W101" s="12">
        <f>IF(M101="","",SUM($M$2:M101))</f>
        <v/>
      </c>
      <c r="X101" s="12">
        <f>IF(M101="","",MAX(0,N(X100),W101))</f>
        <v/>
      </c>
      <c r="Y101" s="12">
        <f>IF(M101="","",X101-W101)</f>
        <v/>
      </c>
      <c r="Z101" s="12">
        <f>IF(M101="","",IF(M101&lt;0,N(Z100)+1,0))</f>
        <v/>
      </c>
    </row>
    <row r="102">
      <c r="H102" s="7" t="n"/>
      <c r="I102" s="7" t="n"/>
      <c r="J102" s="7" t="n"/>
      <c r="K102" s="7" t="n"/>
      <c r="M102" s="8" t="n"/>
      <c r="P102" s="9" t="n"/>
      <c r="Q102" s="10" t="n"/>
      <c r="R102" s="10" t="n"/>
      <c r="S102" s="11" t="n"/>
      <c r="U102" s="12">
        <f>IF(OR(H102="",I102=""),"",ROUND(Settings!$B$4/ABS(H102-I102),2))</f>
        <v/>
      </c>
      <c r="V102" s="13">
        <f>IF(M102="","",ROUND(M102*Settings!$B$4,2))</f>
        <v/>
      </c>
      <c r="W102" s="12">
        <f>IF(M102="","",SUM($M$2:M102))</f>
        <v/>
      </c>
      <c r="X102" s="12">
        <f>IF(M102="","",MAX(0,N(X101),W102))</f>
        <v/>
      </c>
      <c r="Y102" s="12">
        <f>IF(M102="","",X102-W102)</f>
        <v/>
      </c>
      <c r="Z102" s="12">
        <f>IF(M102="","",IF(M102&lt;0,N(Z101)+1,0))</f>
        <v/>
      </c>
    </row>
    <row r="103">
      <c r="H103" s="7" t="n"/>
      <c r="I103" s="7" t="n"/>
      <c r="J103" s="7" t="n"/>
      <c r="K103" s="7" t="n"/>
      <c r="M103" s="8" t="n"/>
      <c r="P103" s="9" t="n"/>
      <c r="Q103" s="10" t="n"/>
      <c r="R103" s="10" t="n"/>
      <c r="S103" s="11" t="n"/>
      <c r="U103" s="12">
        <f>IF(OR(H103="",I103=""),"",ROUND(Settings!$B$4/ABS(H103-I103),2))</f>
        <v/>
      </c>
      <c r="V103" s="13">
        <f>IF(M103="","",ROUND(M103*Settings!$B$4,2))</f>
        <v/>
      </c>
      <c r="W103" s="12">
        <f>IF(M103="","",SUM($M$2:M103))</f>
        <v/>
      </c>
      <c r="X103" s="12">
        <f>IF(M103="","",MAX(0,N(X102),W103))</f>
        <v/>
      </c>
      <c r="Y103" s="12">
        <f>IF(M103="","",X103-W103)</f>
        <v/>
      </c>
      <c r="Z103" s="12">
        <f>IF(M103="","",IF(M103&lt;0,N(Z102)+1,0))</f>
        <v/>
      </c>
    </row>
    <row r="104">
      <c r="H104" s="7" t="n"/>
      <c r="I104" s="7" t="n"/>
      <c r="J104" s="7" t="n"/>
      <c r="K104" s="7" t="n"/>
      <c r="M104" s="8" t="n"/>
      <c r="P104" s="9" t="n"/>
      <c r="Q104" s="10" t="n"/>
      <c r="R104" s="10" t="n"/>
      <c r="S104" s="11" t="n"/>
      <c r="U104" s="12">
        <f>IF(OR(H104="",I104=""),"",ROUND(Settings!$B$4/ABS(H104-I104),2))</f>
        <v/>
      </c>
      <c r="V104" s="13">
        <f>IF(M104="","",ROUND(M104*Settings!$B$4,2))</f>
        <v/>
      </c>
      <c r="W104" s="12">
        <f>IF(M104="","",SUM($M$2:M104))</f>
        <v/>
      </c>
      <c r="X104" s="12">
        <f>IF(M104="","",MAX(0,N(X103),W104))</f>
        <v/>
      </c>
      <c r="Y104" s="12">
        <f>IF(M104="","",X104-W104)</f>
        <v/>
      </c>
      <c r="Z104" s="12">
        <f>IF(M104="","",IF(M104&lt;0,N(Z103)+1,0))</f>
        <v/>
      </c>
    </row>
    <row r="105">
      <c r="H105" s="7" t="n"/>
      <c r="I105" s="7" t="n"/>
      <c r="J105" s="7" t="n"/>
      <c r="K105" s="7" t="n"/>
      <c r="M105" s="8" t="n"/>
      <c r="P105" s="9" t="n"/>
      <c r="Q105" s="10" t="n"/>
      <c r="R105" s="10" t="n"/>
      <c r="S105" s="11" t="n"/>
      <c r="U105" s="12">
        <f>IF(OR(H105="",I105=""),"",ROUND(Settings!$B$4/ABS(H105-I105),2))</f>
        <v/>
      </c>
      <c r="V105" s="13">
        <f>IF(M105="","",ROUND(M105*Settings!$B$4,2))</f>
        <v/>
      </c>
      <c r="W105" s="12">
        <f>IF(M105="","",SUM($M$2:M105))</f>
        <v/>
      </c>
      <c r="X105" s="12">
        <f>IF(M105="","",MAX(0,N(X104),W105))</f>
        <v/>
      </c>
      <c r="Y105" s="12">
        <f>IF(M105="","",X105-W105)</f>
        <v/>
      </c>
      <c r="Z105" s="12">
        <f>IF(M105="","",IF(M105&lt;0,N(Z104)+1,0))</f>
        <v/>
      </c>
    </row>
    <row r="106">
      <c r="H106" s="7" t="n"/>
      <c r="I106" s="7" t="n"/>
      <c r="J106" s="7" t="n"/>
      <c r="K106" s="7" t="n"/>
      <c r="M106" s="8" t="n"/>
      <c r="P106" s="9" t="n"/>
      <c r="Q106" s="10" t="n"/>
      <c r="R106" s="10" t="n"/>
      <c r="S106" s="11" t="n"/>
      <c r="U106" s="12">
        <f>IF(OR(H106="",I106=""),"",ROUND(Settings!$B$4/ABS(H106-I106),2))</f>
        <v/>
      </c>
      <c r="V106" s="13">
        <f>IF(M106="","",ROUND(M106*Settings!$B$4,2))</f>
        <v/>
      </c>
      <c r="W106" s="12">
        <f>IF(M106="","",SUM($M$2:M106))</f>
        <v/>
      </c>
      <c r="X106" s="12">
        <f>IF(M106="","",MAX(0,N(X105),W106))</f>
        <v/>
      </c>
      <c r="Y106" s="12">
        <f>IF(M106="","",X106-W106)</f>
        <v/>
      </c>
      <c r="Z106" s="12">
        <f>IF(M106="","",IF(M106&lt;0,N(Z105)+1,0))</f>
        <v/>
      </c>
    </row>
    <row r="107">
      <c r="H107" s="7" t="n"/>
      <c r="I107" s="7" t="n"/>
      <c r="J107" s="7" t="n"/>
      <c r="K107" s="7" t="n"/>
      <c r="M107" s="8" t="n"/>
      <c r="P107" s="9" t="n"/>
      <c r="Q107" s="10" t="n"/>
      <c r="R107" s="10" t="n"/>
      <c r="S107" s="11" t="n"/>
      <c r="U107" s="12">
        <f>IF(OR(H107="",I107=""),"",ROUND(Settings!$B$4/ABS(H107-I107),2))</f>
        <v/>
      </c>
      <c r="V107" s="13">
        <f>IF(M107="","",ROUND(M107*Settings!$B$4,2))</f>
        <v/>
      </c>
      <c r="W107" s="12">
        <f>IF(M107="","",SUM($M$2:M107))</f>
        <v/>
      </c>
      <c r="X107" s="12">
        <f>IF(M107="","",MAX(0,N(X106),W107))</f>
        <v/>
      </c>
      <c r="Y107" s="12">
        <f>IF(M107="","",X107-W107)</f>
        <v/>
      </c>
      <c r="Z107" s="12">
        <f>IF(M107="","",IF(M107&lt;0,N(Z106)+1,0))</f>
        <v/>
      </c>
    </row>
    <row r="108">
      <c r="H108" s="7" t="n"/>
      <c r="I108" s="7" t="n"/>
      <c r="J108" s="7" t="n"/>
      <c r="K108" s="7" t="n"/>
      <c r="M108" s="8" t="n"/>
      <c r="P108" s="9" t="n"/>
      <c r="Q108" s="10" t="n"/>
      <c r="R108" s="10" t="n"/>
      <c r="S108" s="11" t="n"/>
      <c r="U108" s="12">
        <f>IF(OR(H108="",I108=""),"",ROUND(Settings!$B$4/ABS(H108-I108),2))</f>
        <v/>
      </c>
      <c r="V108" s="13">
        <f>IF(M108="","",ROUND(M108*Settings!$B$4,2))</f>
        <v/>
      </c>
      <c r="W108" s="12">
        <f>IF(M108="","",SUM($M$2:M108))</f>
        <v/>
      </c>
      <c r="X108" s="12">
        <f>IF(M108="","",MAX(0,N(X107),W108))</f>
        <v/>
      </c>
      <c r="Y108" s="12">
        <f>IF(M108="","",X108-W108)</f>
        <v/>
      </c>
      <c r="Z108" s="12">
        <f>IF(M108="","",IF(M108&lt;0,N(Z107)+1,0))</f>
        <v/>
      </c>
    </row>
    <row r="109">
      <c r="H109" s="7" t="n"/>
      <c r="I109" s="7" t="n"/>
      <c r="J109" s="7" t="n"/>
      <c r="K109" s="7" t="n"/>
      <c r="M109" s="8" t="n"/>
      <c r="P109" s="9" t="n"/>
      <c r="Q109" s="10" t="n"/>
      <c r="R109" s="10" t="n"/>
      <c r="S109" s="11" t="n"/>
      <c r="U109" s="12">
        <f>IF(OR(H109="",I109=""),"",ROUND(Settings!$B$4/ABS(H109-I109),2))</f>
        <v/>
      </c>
      <c r="V109" s="13">
        <f>IF(M109="","",ROUND(M109*Settings!$B$4,2))</f>
        <v/>
      </c>
      <c r="W109" s="12">
        <f>IF(M109="","",SUM($M$2:M109))</f>
        <v/>
      </c>
      <c r="X109" s="12">
        <f>IF(M109="","",MAX(0,N(X108),W109))</f>
        <v/>
      </c>
      <c r="Y109" s="12">
        <f>IF(M109="","",X109-W109)</f>
        <v/>
      </c>
      <c r="Z109" s="12">
        <f>IF(M109="","",IF(M109&lt;0,N(Z108)+1,0))</f>
        <v/>
      </c>
    </row>
    <row r="110">
      <c r="H110" s="7" t="n"/>
      <c r="I110" s="7" t="n"/>
      <c r="J110" s="7" t="n"/>
      <c r="K110" s="7" t="n"/>
      <c r="M110" s="8" t="n"/>
      <c r="P110" s="9" t="n"/>
      <c r="Q110" s="10" t="n"/>
      <c r="R110" s="10" t="n"/>
      <c r="S110" s="11" t="n"/>
      <c r="U110" s="12">
        <f>IF(OR(H110="",I110=""),"",ROUND(Settings!$B$4/ABS(H110-I110),2))</f>
        <v/>
      </c>
      <c r="V110" s="13">
        <f>IF(M110="","",ROUND(M110*Settings!$B$4,2))</f>
        <v/>
      </c>
      <c r="W110" s="12">
        <f>IF(M110="","",SUM($M$2:M110))</f>
        <v/>
      </c>
      <c r="X110" s="12">
        <f>IF(M110="","",MAX(0,N(X109),W110))</f>
        <v/>
      </c>
      <c r="Y110" s="12">
        <f>IF(M110="","",X110-W110)</f>
        <v/>
      </c>
      <c r="Z110" s="12">
        <f>IF(M110="","",IF(M110&lt;0,N(Z109)+1,0))</f>
        <v/>
      </c>
    </row>
    <row r="111">
      <c r="H111" s="7" t="n"/>
      <c r="I111" s="7" t="n"/>
      <c r="J111" s="7" t="n"/>
      <c r="K111" s="7" t="n"/>
      <c r="M111" s="8" t="n"/>
      <c r="P111" s="9" t="n"/>
      <c r="Q111" s="10" t="n"/>
      <c r="R111" s="10" t="n"/>
      <c r="S111" s="11" t="n"/>
      <c r="U111" s="12">
        <f>IF(OR(H111="",I111=""),"",ROUND(Settings!$B$4/ABS(H111-I111),2))</f>
        <v/>
      </c>
      <c r="V111" s="13">
        <f>IF(M111="","",ROUND(M111*Settings!$B$4,2))</f>
        <v/>
      </c>
      <c r="W111" s="12">
        <f>IF(M111="","",SUM($M$2:M111))</f>
        <v/>
      </c>
      <c r="X111" s="12">
        <f>IF(M111="","",MAX(0,N(X110),W111))</f>
        <v/>
      </c>
      <c r="Y111" s="12">
        <f>IF(M111="","",X111-W111)</f>
        <v/>
      </c>
      <c r="Z111" s="12">
        <f>IF(M111="","",IF(M111&lt;0,N(Z110)+1,0))</f>
        <v/>
      </c>
    </row>
    <row r="112">
      <c r="H112" s="7" t="n"/>
      <c r="I112" s="7" t="n"/>
      <c r="J112" s="7" t="n"/>
      <c r="K112" s="7" t="n"/>
      <c r="M112" s="8" t="n"/>
      <c r="P112" s="9" t="n"/>
      <c r="Q112" s="10" t="n"/>
      <c r="R112" s="10" t="n"/>
      <c r="S112" s="11" t="n"/>
      <c r="U112" s="12">
        <f>IF(OR(H112="",I112=""),"",ROUND(Settings!$B$4/ABS(H112-I112),2))</f>
        <v/>
      </c>
      <c r="V112" s="13">
        <f>IF(M112="","",ROUND(M112*Settings!$B$4,2))</f>
        <v/>
      </c>
      <c r="W112" s="12">
        <f>IF(M112="","",SUM($M$2:M112))</f>
        <v/>
      </c>
      <c r="X112" s="12">
        <f>IF(M112="","",MAX(0,N(X111),W112))</f>
        <v/>
      </c>
      <c r="Y112" s="12">
        <f>IF(M112="","",X112-W112)</f>
        <v/>
      </c>
      <c r="Z112" s="12">
        <f>IF(M112="","",IF(M112&lt;0,N(Z111)+1,0))</f>
        <v/>
      </c>
    </row>
    <row r="113">
      <c r="H113" s="7" t="n"/>
      <c r="I113" s="7" t="n"/>
      <c r="J113" s="7" t="n"/>
      <c r="K113" s="7" t="n"/>
      <c r="M113" s="8" t="n"/>
      <c r="P113" s="9" t="n"/>
      <c r="Q113" s="10" t="n"/>
      <c r="R113" s="10" t="n"/>
      <c r="S113" s="11" t="n"/>
      <c r="U113" s="12">
        <f>IF(OR(H113="",I113=""),"",ROUND(Settings!$B$4/ABS(H113-I113),2))</f>
        <v/>
      </c>
      <c r="V113" s="13">
        <f>IF(M113="","",ROUND(M113*Settings!$B$4,2))</f>
        <v/>
      </c>
      <c r="W113" s="12">
        <f>IF(M113="","",SUM($M$2:M113))</f>
        <v/>
      </c>
      <c r="X113" s="12">
        <f>IF(M113="","",MAX(0,N(X112),W113))</f>
        <v/>
      </c>
      <c r="Y113" s="12">
        <f>IF(M113="","",X113-W113)</f>
        <v/>
      </c>
      <c r="Z113" s="12">
        <f>IF(M113="","",IF(M113&lt;0,N(Z112)+1,0))</f>
        <v/>
      </c>
    </row>
    <row r="114">
      <c r="H114" s="7" t="n"/>
      <c r="I114" s="7" t="n"/>
      <c r="J114" s="7" t="n"/>
      <c r="K114" s="7" t="n"/>
      <c r="M114" s="8" t="n"/>
      <c r="P114" s="9" t="n"/>
      <c r="Q114" s="10" t="n"/>
      <c r="R114" s="10" t="n"/>
      <c r="S114" s="11" t="n"/>
      <c r="U114" s="12">
        <f>IF(OR(H114="",I114=""),"",ROUND(Settings!$B$4/ABS(H114-I114),2))</f>
        <v/>
      </c>
      <c r="V114" s="13">
        <f>IF(M114="","",ROUND(M114*Settings!$B$4,2))</f>
        <v/>
      </c>
      <c r="W114" s="12">
        <f>IF(M114="","",SUM($M$2:M114))</f>
        <v/>
      </c>
      <c r="X114" s="12">
        <f>IF(M114="","",MAX(0,N(X113),W114))</f>
        <v/>
      </c>
      <c r="Y114" s="12">
        <f>IF(M114="","",X114-W114)</f>
        <v/>
      </c>
      <c r="Z114" s="12">
        <f>IF(M114="","",IF(M114&lt;0,N(Z113)+1,0))</f>
        <v/>
      </c>
    </row>
    <row r="115">
      <c r="H115" s="7" t="n"/>
      <c r="I115" s="7" t="n"/>
      <c r="J115" s="7" t="n"/>
      <c r="K115" s="7" t="n"/>
      <c r="M115" s="8" t="n"/>
      <c r="P115" s="9" t="n"/>
      <c r="Q115" s="10" t="n"/>
      <c r="R115" s="10" t="n"/>
      <c r="S115" s="11" t="n"/>
      <c r="U115" s="12">
        <f>IF(OR(H115="",I115=""),"",ROUND(Settings!$B$4/ABS(H115-I115),2))</f>
        <v/>
      </c>
      <c r="V115" s="13">
        <f>IF(M115="","",ROUND(M115*Settings!$B$4,2))</f>
        <v/>
      </c>
      <c r="W115" s="12">
        <f>IF(M115="","",SUM($M$2:M115))</f>
        <v/>
      </c>
      <c r="X115" s="12">
        <f>IF(M115="","",MAX(0,N(X114),W115))</f>
        <v/>
      </c>
      <c r="Y115" s="12">
        <f>IF(M115="","",X115-W115)</f>
        <v/>
      </c>
      <c r="Z115" s="12">
        <f>IF(M115="","",IF(M115&lt;0,N(Z114)+1,0))</f>
        <v/>
      </c>
    </row>
    <row r="116">
      <c r="H116" s="7" t="n"/>
      <c r="I116" s="7" t="n"/>
      <c r="J116" s="7" t="n"/>
      <c r="K116" s="7" t="n"/>
      <c r="M116" s="8" t="n"/>
      <c r="P116" s="9" t="n"/>
      <c r="Q116" s="10" t="n"/>
      <c r="R116" s="10" t="n"/>
      <c r="S116" s="11" t="n"/>
      <c r="U116" s="12">
        <f>IF(OR(H116="",I116=""),"",ROUND(Settings!$B$4/ABS(H116-I116),2))</f>
        <v/>
      </c>
      <c r="V116" s="13">
        <f>IF(M116="","",ROUND(M116*Settings!$B$4,2))</f>
        <v/>
      </c>
      <c r="W116" s="12">
        <f>IF(M116="","",SUM($M$2:M116))</f>
        <v/>
      </c>
      <c r="X116" s="12">
        <f>IF(M116="","",MAX(0,N(X115),W116))</f>
        <v/>
      </c>
      <c r="Y116" s="12">
        <f>IF(M116="","",X116-W116)</f>
        <v/>
      </c>
      <c r="Z116" s="12">
        <f>IF(M116="","",IF(M116&lt;0,N(Z115)+1,0))</f>
        <v/>
      </c>
    </row>
    <row r="117">
      <c r="H117" s="7" t="n"/>
      <c r="I117" s="7" t="n"/>
      <c r="J117" s="7" t="n"/>
      <c r="K117" s="7" t="n"/>
      <c r="M117" s="8" t="n"/>
      <c r="P117" s="9" t="n"/>
      <c r="Q117" s="10" t="n"/>
      <c r="R117" s="10" t="n"/>
      <c r="S117" s="11" t="n"/>
      <c r="U117" s="12">
        <f>IF(OR(H117="",I117=""),"",ROUND(Settings!$B$4/ABS(H117-I117),2))</f>
        <v/>
      </c>
      <c r="V117" s="13">
        <f>IF(M117="","",ROUND(M117*Settings!$B$4,2))</f>
        <v/>
      </c>
      <c r="W117" s="12">
        <f>IF(M117="","",SUM($M$2:M117))</f>
        <v/>
      </c>
      <c r="X117" s="12">
        <f>IF(M117="","",MAX(0,N(X116),W117))</f>
        <v/>
      </c>
      <c r="Y117" s="12">
        <f>IF(M117="","",X117-W117)</f>
        <v/>
      </c>
      <c r="Z117" s="12">
        <f>IF(M117="","",IF(M117&lt;0,N(Z116)+1,0))</f>
        <v/>
      </c>
    </row>
    <row r="118">
      <c r="H118" s="7" t="n"/>
      <c r="I118" s="7" t="n"/>
      <c r="J118" s="7" t="n"/>
      <c r="K118" s="7" t="n"/>
      <c r="M118" s="8" t="n"/>
      <c r="P118" s="9" t="n"/>
      <c r="Q118" s="10" t="n"/>
      <c r="R118" s="10" t="n"/>
      <c r="S118" s="11" t="n"/>
      <c r="U118" s="12">
        <f>IF(OR(H118="",I118=""),"",ROUND(Settings!$B$4/ABS(H118-I118),2))</f>
        <v/>
      </c>
      <c r="V118" s="13">
        <f>IF(M118="","",ROUND(M118*Settings!$B$4,2))</f>
        <v/>
      </c>
      <c r="W118" s="12">
        <f>IF(M118="","",SUM($M$2:M118))</f>
        <v/>
      </c>
      <c r="X118" s="12">
        <f>IF(M118="","",MAX(0,N(X117),W118))</f>
        <v/>
      </c>
      <c r="Y118" s="12">
        <f>IF(M118="","",X118-W118)</f>
        <v/>
      </c>
      <c r="Z118" s="12">
        <f>IF(M118="","",IF(M118&lt;0,N(Z117)+1,0))</f>
        <v/>
      </c>
    </row>
    <row r="119">
      <c r="H119" s="7" t="n"/>
      <c r="I119" s="7" t="n"/>
      <c r="J119" s="7" t="n"/>
      <c r="K119" s="7" t="n"/>
      <c r="M119" s="8" t="n"/>
      <c r="P119" s="9" t="n"/>
      <c r="Q119" s="10" t="n"/>
      <c r="R119" s="10" t="n"/>
      <c r="S119" s="11" t="n"/>
      <c r="U119" s="12">
        <f>IF(OR(H119="",I119=""),"",ROUND(Settings!$B$4/ABS(H119-I119),2))</f>
        <v/>
      </c>
      <c r="V119" s="13">
        <f>IF(M119="","",ROUND(M119*Settings!$B$4,2))</f>
        <v/>
      </c>
      <c r="W119" s="12">
        <f>IF(M119="","",SUM($M$2:M119))</f>
        <v/>
      </c>
      <c r="X119" s="12">
        <f>IF(M119="","",MAX(0,N(X118),W119))</f>
        <v/>
      </c>
      <c r="Y119" s="12">
        <f>IF(M119="","",X119-W119)</f>
        <v/>
      </c>
      <c r="Z119" s="12">
        <f>IF(M119="","",IF(M119&lt;0,N(Z118)+1,0))</f>
        <v/>
      </c>
    </row>
    <row r="120">
      <c r="H120" s="7" t="n"/>
      <c r="I120" s="7" t="n"/>
      <c r="J120" s="7" t="n"/>
      <c r="K120" s="7" t="n"/>
      <c r="M120" s="8" t="n"/>
      <c r="P120" s="9" t="n"/>
      <c r="Q120" s="10" t="n"/>
      <c r="R120" s="10" t="n"/>
      <c r="S120" s="11" t="n"/>
      <c r="U120" s="12">
        <f>IF(OR(H120="",I120=""),"",ROUND(Settings!$B$4/ABS(H120-I120),2))</f>
        <v/>
      </c>
      <c r="V120" s="13">
        <f>IF(M120="","",ROUND(M120*Settings!$B$4,2))</f>
        <v/>
      </c>
      <c r="W120" s="12">
        <f>IF(M120="","",SUM($M$2:M120))</f>
        <v/>
      </c>
      <c r="X120" s="12">
        <f>IF(M120="","",MAX(0,N(X119),W120))</f>
        <v/>
      </c>
      <c r="Y120" s="12">
        <f>IF(M120="","",X120-W120)</f>
        <v/>
      </c>
      <c r="Z120" s="12">
        <f>IF(M120="","",IF(M120&lt;0,N(Z119)+1,0))</f>
        <v/>
      </c>
    </row>
    <row r="121">
      <c r="H121" s="7" t="n"/>
      <c r="I121" s="7" t="n"/>
      <c r="J121" s="7" t="n"/>
      <c r="K121" s="7" t="n"/>
      <c r="M121" s="8" t="n"/>
      <c r="P121" s="9" t="n"/>
      <c r="Q121" s="10" t="n"/>
      <c r="R121" s="10" t="n"/>
      <c r="S121" s="11" t="n"/>
      <c r="U121" s="12">
        <f>IF(OR(H121="",I121=""),"",ROUND(Settings!$B$4/ABS(H121-I121),2))</f>
        <v/>
      </c>
      <c r="V121" s="13">
        <f>IF(M121="","",ROUND(M121*Settings!$B$4,2))</f>
        <v/>
      </c>
      <c r="W121" s="12">
        <f>IF(M121="","",SUM($M$2:M121))</f>
        <v/>
      </c>
      <c r="X121" s="12">
        <f>IF(M121="","",MAX(0,N(X120),W121))</f>
        <v/>
      </c>
      <c r="Y121" s="12">
        <f>IF(M121="","",X121-W121)</f>
        <v/>
      </c>
      <c r="Z121" s="12">
        <f>IF(M121="","",IF(M121&lt;0,N(Z120)+1,0))</f>
        <v/>
      </c>
    </row>
    <row r="122">
      <c r="H122" s="7" t="n"/>
      <c r="I122" s="7" t="n"/>
      <c r="J122" s="7" t="n"/>
      <c r="K122" s="7" t="n"/>
      <c r="M122" s="8" t="n"/>
      <c r="P122" s="9" t="n"/>
      <c r="Q122" s="10" t="n"/>
      <c r="R122" s="10" t="n"/>
      <c r="S122" s="11" t="n"/>
      <c r="U122" s="12">
        <f>IF(OR(H122="",I122=""),"",ROUND(Settings!$B$4/ABS(H122-I122),2))</f>
        <v/>
      </c>
      <c r="V122" s="13">
        <f>IF(M122="","",ROUND(M122*Settings!$B$4,2))</f>
        <v/>
      </c>
      <c r="W122" s="12">
        <f>IF(M122="","",SUM($M$2:M122))</f>
        <v/>
      </c>
      <c r="X122" s="12">
        <f>IF(M122="","",MAX(0,N(X121),W122))</f>
        <v/>
      </c>
      <c r="Y122" s="12">
        <f>IF(M122="","",X122-W122)</f>
        <v/>
      </c>
      <c r="Z122" s="12">
        <f>IF(M122="","",IF(M122&lt;0,N(Z121)+1,0))</f>
        <v/>
      </c>
    </row>
    <row r="123">
      <c r="H123" s="7" t="n"/>
      <c r="I123" s="7" t="n"/>
      <c r="J123" s="7" t="n"/>
      <c r="K123" s="7" t="n"/>
      <c r="M123" s="8" t="n"/>
      <c r="P123" s="9" t="n"/>
      <c r="Q123" s="10" t="n"/>
      <c r="R123" s="10" t="n"/>
      <c r="S123" s="11" t="n"/>
      <c r="U123" s="12">
        <f>IF(OR(H123="",I123=""),"",ROUND(Settings!$B$4/ABS(H123-I123),2))</f>
        <v/>
      </c>
      <c r="V123" s="13">
        <f>IF(M123="","",ROUND(M123*Settings!$B$4,2))</f>
        <v/>
      </c>
      <c r="W123" s="12">
        <f>IF(M123="","",SUM($M$2:M123))</f>
        <v/>
      </c>
      <c r="X123" s="12">
        <f>IF(M123="","",MAX(0,N(X122),W123))</f>
        <v/>
      </c>
      <c r="Y123" s="12">
        <f>IF(M123="","",X123-W123)</f>
        <v/>
      </c>
      <c r="Z123" s="12">
        <f>IF(M123="","",IF(M123&lt;0,N(Z122)+1,0))</f>
        <v/>
      </c>
    </row>
    <row r="124">
      <c r="H124" s="7" t="n"/>
      <c r="I124" s="7" t="n"/>
      <c r="J124" s="7" t="n"/>
      <c r="K124" s="7" t="n"/>
      <c r="M124" s="8" t="n"/>
      <c r="P124" s="9" t="n"/>
      <c r="Q124" s="10" t="n"/>
      <c r="R124" s="10" t="n"/>
      <c r="S124" s="11" t="n"/>
      <c r="U124" s="12">
        <f>IF(OR(H124="",I124=""),"",ROUND(Settings!$B$4/ABS(H124-I124),2))</f>
        <v/>
      </c>
      <c r="V124" s="13">
        <f>IF(M124="","",ROUND(M124*Settings!$B$4,2))</f>
        <v/>
      </c>
      <c r="W124" s="12">
        <f>IF(M124="","",SUM($M$2:M124))</f>
        <v/>
      </c>
      <c r="X124" s="12">
        <f>IF(M124="","",MAX(0,N(X123),W124))</f>
        <v/>
      </c>
      <c r="Y124" s="12">
        <f>IF(M124="","",X124-W124)</f>
        <v/>
      </c>
      <c r="Z124" s="12">
        <f>IF(M124="","",IF(M124&lt;0,N(Z123)+1,0))</f>
        <v/>
      </c>
    </row>
    <row r="125">
      <c r="H125" s="7" t="n"/>
      <c r="I125" s="7" t="n"/>
      <c r="J125" s="7" t="n"/>
      <c r="K125" s="7" t="n"/>
      <c r="M125" s="8" t="n"/>
      <c r="P125" s="9" t="n"/>
      <c r="Q125" s="10" t="n"/>
      <c r="R125" s="10" t="n"/>
      <c r="S125" s="11" t="n"/>
      <c r="U125" s="12">
        <f>IF(OR(H125="",I125=""),"",ROUND(Settings!$B$4/ABS(H125-I125),2))</f>
        <v/>
      </c>
      <c r="V125" s="13">
        <f>IF(M125="","",ROUND(M125*Settings!$B$4,2))</f>
        <v/>
      </c>
      <c r="W125" s="12">
        <f>IF(M125="","",SUM($M$2:M125))</f>
        <v/>
      </c>
      <c r="X125" s="12">
        <f>IF(M125="","",MAX(0,N(X124),W125))</f>
        <v/>
      </c>
      <c r="Y125" s="12">
        <f>IF(M125="","",X125-W125)</f>
        <v/>
      </c>
      <c r="Z125" s="12">
        <f>IF(M125="","",IF(M125&lt;0,N(Z124)+1,0))</f>
        <v/>
      </c>
    </row>
    <row r="126">
      <c r="H126" s="7" t="n"/>
      <c r="I126" s="7" t="n"/>
      <c r="J126" s="7" t="n"/>
      <c r="K126" s="7" t="n"/>
      <c r="M126" s="8" t="n"/>
      <c r="P126" s="9" t="n"/>
      <c r="Q126" s="10" t="n"/>
      <c r="R126" s="10" t="n"/>
      <c r="S126" s="11" t="n"/>
      <c r="U126" s="12">
        <f>IF(OR(H126="",I126=""),"",ROUND(Settings!$B$4/ABS(H126-I126),2))</f>
        <v/>
      </c>
      <c r="V126" s="13">
        <f>IF(M126="","",ROUND(M126*Settings!$B$4,2))</f>
        <v/>
      </c>
      <c r="W126" s="12">
        <f>IF(M126="","",SUM($M$2:M126))</f>
        <v/>
      </c>
      <c r="X126" s="12">
        <f>IF(M126="","",MAX(0,N(X125),W126))</f>
        <v/>
      </c>
      <c r="Y126" s="12">
        <f>IF(M126="","",X126-W126)</f>
        <v/>
      </c>
      <c r="Z126" s="12">
        <f>IF(M126="","",IF(M126&lt;0,N(Z125)+1,0))</f>
        <v/>
      </c>
    </row>
    <row r="127">
      <c r="H127" s="7" t="n"/>
      <c r="I127" s="7" t="n"/>
      <c r="J127" s="7" t="n"/>
      <c r="K127" s="7" t="n"/>
      <c r="M127" s="8" t="n"/>
      <c r="P127" s="9" t="n"/>
      <c r="Q127" s="10" t="n"/>
      <c r="R127" s="10" t="n"/>
      <c r="S127" s="11" t="n"/>
      <c r="U127" s="12">
        <f>IF(OR(H127="",I127=""),"",ROUND(Settings!$B$4/ABS(H127-I127),2))</f>
        <v/>
      </c>
      <c r="V127" s="13">
        <f>IF(M127="","",ROUND(M127*Settings!$B$4,2))</f>
        <v/>
      </c>
      <c r="W127" s="12">
        <f>IF(M127="","",SUM($M$2:M127))</f>
        <v/>
      </c>
      <c r="X127" s="12">
        <f>IF(M127="","",MAX(0,N(X126),W127))</f>
        <v/>
      </c>
      <c r="Y127" s="12">
        <f>IF(M127="","",X127-W127)</f>
        <v/>
      </c>
      <c r="Z127" s="12">
        <f>IF(M127="","",IF(M127&lt;0,N(Z126)+1,0))</f>
        <v/>
      </c>
    </row>
    <row r="128">
      <c r="H128" s="7" t="n"/>
      <c r="I128" s="7" t="n"/>
      <c r="J128" s="7" t="n"/>
      <c r="K128" s="7" t="n"/>
      <c r="M128" s="8" t="n"/>
      <c r="P128" s="9" t="n"/>
      <c r="Q128" s="10" t="n"/>
      <c r="R128" s="10" t="n"/>
      <c r="S128" s="11" t="n"/>
      <c r="U128" s="12">
        <f>IF(OR(H128="",I128=""),"",ROUND(Settings!$B$4/ABS(H128-I128),2))</f>
        <v/>
      </c>
      <c r="V128" s="13">
        <f>IF(M128="","",ROUND(M128*Settings!$B$4,2))</f>
        <v/>
      </c>
      <c r="W128" s="12">
        <f>IF(M128="","",SUM($M$2:M128))</f>
        <v/>
      </c>
      <c r="X128" s="12">
        <f>IF(M128="","",MAX(0,N(X127),W128))</f>
        <v/>
      </c>
      <c r="Y128" s="12">
        <f>IF(M128="","",X128-W128)</f>
        <v/>
      </c>
      <c r="Z128" s="12">
        <f>IF(M128="","",IF(M128&lt;0,N(Z127)+1,0))</f>
        <v/>
      </c>
    </row>
    <row r="129">
      <c r="H129" s="7" t="n"/>
      <c r="I129" s="7" t="n"/>
      <c r="J129" s="7" t="n"/>
      <c r="K129" s="7" t="n"/>
      <c r="M129" s="8" t="n"/>
      <c r="P129" s="9" t="n"/>
      <c r="Q129" s="10" t="n"/>
      <c r="R129" s="10" t="n"/>
      <c r="S129" s="11" t="n"/>
      <c r="U129" s="12">
        <f>IF(OR(H129="",I129=""),"",ROUND(Settings!$B$4/ABS(H129-I129),2))</f>
        <v/>
      </c>
      <c r="V129" s="13">
        <f>IF(M129="","",ROUND(M129*Settings!$B$4,2))</f>
        <v/>
      </c>
      <c r="W129" s="12">
        <f>IF(M129="","",SUM($M$2:M129))</f>
        <v/>
      </c>
      <c r="X129" s="12">
        <f>IF(M129="","",MAX(0,N(X128),W129))</f>
        <v/>
      </c>
      <c r="Y129" s="12">
        <f>IF(M129="","",X129-W129)</f>
        <v/>
      </c>
      <c r="Z129" s="12">
        <f>IF(M129="","",IF(M129&lt;0,N(Z128)+1,0))</f>
        <v/>
      </c>
    </row>
    <row r="130">
      <c r="H130" s="7" t="n"/>
      <c r="I130" s="7" t="n"/>
      <c r="J130" s="7" t="n"/>
      <c r="K130" s="7" t="n"/>
      <c r="M130" s="8" t="n"/>
      <c r="P130" s="9" t="n"/>
      <c r="Q130" s="10" t="n"/>
      <c r="R130" s="10" t="n"/>
      <c r="S130" s="11" t="n"/>
      <c r="U130" s="12">
        <f>IF(OR(H130="",I130=""),"",ROUND(Settings!$B$4/ABS(H130-I130),2))</f>
        <v/>
      </c>
      <c r="V130" s="13">
        <f>IF(M130="","",ROUND(M130*Settings!$B$4,2))</f>
        <v/>
      </c>
      <c r="W130" s="12">
        <f>IF(M130="","",SUM($M$2:M130))</f>
        <v/>
      </c>
      <c r="X130" s="12">
        <f>IF(M130="","",MAX(0,N(X129),W130))</f>
        <v/>
      </c>
      <c r="Y130" s="12">
        <f>IF(M130="","",X130-W130)</f>
        <v/>
      </c>
      <c r="Z130" s="12">
        <f>IF(M130="","",IF(M130&lt;0,N(Z129)+1,0))</f>
        <v/>
      </c>
    </row>
    <row r="131">
      <c r="H131" s="7" t="n"/>
      <c r="I131" s="7" t="n"/>
      <c r="J131" s="7" t="n"/>
      <c r="K131" s="7" t="n"/>
      <c r="M131" s="8" t="n"/>
      <c r="P131" s="9" t="n"/>
      <c r="Q131" s="10" t="n"/>
      <c r="R131" s="10" t="n"/>
      <c r="S131" s="11" t="n"/>
      <c r="U131" s="12">
        <f>IF(OR(H131="",I131=""),"",ROUND(Settings!$B$4/ABS(H131-I131),2))</f>
        <v/>
      </c>
      <c r="V131" s="13">
        <f>IF(M131="","",ROUND(M131*Settings!$B$4,2))</f>
        <v/>
      </c>
      <c r="W131" s="12">
        <f>IF(M131="","",SUM($M$2:M131))</f>
        <v/>
      </c>
      <c r="X131" s="12">
        <f>IF(M131="","",MAX(0,N(X130),W131))</f>
        <v/>
      </c>
      <c r="Y131" s="12">
        <f>IF(M131="","",X131-W131)</f>
        <v/>
      </c>
      <c r="Z131" s="12">
        <f>IF(M131="","",IF(M131&lt;0,N(Z130)+1,0))</f>
        <v/>
      </c>
    </row>
    <row r="132">
      <c r="H132" s="7" t="n"/>
      <c r="I132" s="7" t="n"/>
      <c r="J132" s="7" t="n"/>
      <c r="K132" s="7" t="n"/>
      <c r="M132" s="8" t="n"/>
      <c r="P132" s="9" t="n"/>
      <c r="Q132" s="10" t="n"/>
      <c r="R132" s="10" t="n"/>
      <c r="S132" s="11" t="n"/>
      <c r="U132" s="12">
        <f>IF(OR(H132="",I132=""),"",ROUND(Settings!$B$4/ABS(H132-I132),2))</f>
        <v/>
      </c>
      <c r="V132" s="13">
        <f>IF(M132="","",ROUND(M132*Settings!$B$4,2))</f>
        <v/>
      </c>
      <c r="W132" s="12">
        <f>IF(M132="","",SUM($M$2:M132))</f>
        <v/>
      </c>
      <c r="X132" s="12">
        <f>IF(M132="","",MAX(0,N(X131),W132))</f>
        <v/>
      </c>
      <c r="Y132" s="12">
        <f>IF(M132="","",X132-W132)</f>
        <v/>
      </c>
      <c r="Z132" s="12">
        <f>IF(M132="","",IF(M132&lt;0,N(Z131)+1,0))</f>
        <v/>
      </c>
    </row>
    <row r="133">
      <c r="H133" s="7" t="n"/>
      <c r="I133" s="7" t="n"/>
      <c r="J133" s="7" t="n"/>
      <c r="K133" s="7" t="n"/>
      <c r="M133" s="8" t="n"/>
      <c r="P133" s="9" t="n"/>
      <c r="Q133" s="10" t="n"/>
      <c r="R133" s="10" t="n"/>
      <c r="S133" s="11" t="n"/>
      <c r="U133" s="12">
        <f>IF(OR(H133="",I133=""),"",ROUND(Settings!$B$4/ABS(H133-I133),2))</f>
        <v/>
      </c>
      <c r="V133" s="13">
        <f>IF(M133="","",ROUND(M133*Settings!$B$4,2))</f>
        <v/>
      </c>
      <c r="W133" s="12">
        <f>IF(M133="","",SUM($M$2:M133))</f>
        <v/>
      </c>
      <c r="X133" s="12">
        <f>IF(M133="","",MAX(0,N(X132),W133))</f>
        <v/>
      </c>
      <c r="Y133" s="12">
        <f>IF(M133="","",X133-W133)</f>
        <v/>
      </c>
      <c r="Z133" s="12">
        <f>IF(M133="","",IF(M133&lt;0,N(Z132)+1,0))</f>
        <v/>
      </c>
    </row>
    <row r="134">
      <c r="H134" s="7" t="n"/>
      <c r="I134" s="7" t="n"/>
      <c r="J134" s="7" t="n"/>
      <c r="K134" s="7" t="n"/>
      <c r="M134" s="8" t="n"/>
      <c r="P134" s="9" t="n"/>
      <c r="Q134" s="10" t="n"/>
      <c r="R134" s="10" t="n"/>
      <c r="S134" s="11" t="n"/>
      <c r="U134" s="12">
        <f>IF(OR(H134="",I134=""),"",ROUND(Settings!$B$4/ABS(H134-I134),2))</f>
        <v/>
      </c>
      <c r="V134" s="13">
        <f>IF(M134="","",ROUND(M134*Settings!$B$4,2))</f>
        <v/>
      </c>
      <c r="W134" s="12">
        <f>IF(M134="","",SUM($M$2:M134))</f>
        <v/>
      </c>
      <c r="X134" s="12">
        <f>IF(M134="","",MAX(0,N(X133),W134))</f>
        <v/>
      </c>
      <c r="Y134" s="12">
        <f>IF(M134="","",X134-W134)</f>
        <v/>
      </c>
      <c r="Z134" s="12">
        <f>IF(M134="","",IF(M134&lt;0,N(Z133)+1,0))</f>
        <v/>
      </c>
    </row>
    <row r="135">
      <c r="H135" s="7" t="n"/>
      <c r="I135" s="7" t="n"/>
      <c r="J135" s="7" t="n"/>
      <c r="K135" s="7" t="n"/>
      <c r="M135" s="8" t="n"/>
      <c r="P135" s="9" t="n"/>
      <c r="Q135" s="10" t="n"/>
      <c r="R135" s="10" t="n"/>
      <c r="S135" s="11" t="n"/>
      <c r="U135" s="12">
        <f>IF(OR(H135="",I135=""),"",ROUND(Settings!$B$4/ABS(H135-I135),2))</f>
        <v/>
      </c>
      <c r="V135" s="13">
        <f>IF(M135="","",ROUND(M135*Settings!$B$4,2))</f>
        <v/>
      </c>
      <c r="W135" s="12">
        <f>IF(M135="","",SUM($M$2:M135))</f>
        <v/>
      </c>
      <c r="X135" s="12">
        <f>IF(M135="","",MAX(0,N(X134),W135))</f>
        <v/>
      </c>
      <c r="Y135" s="12">
        <f>IF(M135="","",X135-W135)</f>
        <v/>
      </c>
      <c r="Z135" s="12">
        <f>IF(M135="","",IF(M135&lt;0,N(Z134)+1,0))</f>
        <v/>
      </c>
    </row>
    <row r="136">
      <c r="H136" s="7" t="n"/>
      <c r="I136" s="7" t="n"/>
      <c r="J136" s="7" t="n"/>
      <c r="K136" s="7" t="n"/>
      <c r="M136" s="8" t="n"/>
      <c r="P136" s="9" t="n"/>
      <c r="Q136" s="10" t="n"/>
      <c r="R136" s="10" t="n"/>
      <c r="S136" s="11" t="n"/>
      <c r="U136" s="12">
        <f>IF(OR(H136="",I136=""),"",ROUND(Settings!$B$4/ABS(H136-I136),2))</f>
        <v/>
      </c>
      <c r="V136" s="13">
        <f>IF(M136="","",ROUND(M136*Settings!$B$4,2))</f>
        <v/>
      </c>
      <c r="W136" s="12">
        <f>IF(M136="","",SUM($M$2:M136))</f>
        <v/>
      </c>
      <c r="X136" s="12">
        <f>IF(M136="","",MAX(0,N(X135),W136))</f>
        <v/>
      </c>
      <c r="Y136" s="12">
        <f>IF(M136="","",X136-W136)</f>
        <v/>
      </c>
      <c r="Z136" s="12">
        <f>IF(M136="","",IF(M136&lt;0,N(Z135)+1,0))</f>
        <v/>
      </c>
    </row>
    <row r="137">
      <c r="H137" s="7" t="n"/>
      <c r="I137" s="7" t="n"/>
      <c r="J137" s="7" t="n"/>
      <c r="K137" s="7" t="n"/>
      <c r="M137" s="8" t="n"/>
      <c r="P137" s="9" t="n"/>
      <c r="Q137" s="10" t="n"/>
      <c r="R137" s="10" t="n"/>
      <c r="S137" s="11" t="n"/>
      <c r="U137" s="12">
        <f>IF(OR(H137="",I137=""),"",ROUND(Settings!$B$4/ABS(H137-I137),2))</f>
        <v/>
      </c>
      <c r="V137" s="13">
        <f>IF(M137="","",ROUND(M137*Settings!$B$4,2))</f>
        <v/>
      </c>
      <c r="W137" s="12">
        <f>IF(M137="","",SUM($M$2:M137))</f>
        <v/>
      </c>
      <c r="X137" s="12">
        <f>IF(M137="","",MAX(0,N(X136),W137))</f>
        <v/>
      </c>
      <c r="Y137" s="12">
        <f>IF(M137="","",X137-W137)</f>
        <v/>
      </c>
      <c r="Z137" s="12">
        <f>IF(M137="","",IF(M137&lt;0,N(Z136)+1,0))</f>
        <v/>
      </c>
    </row>
    <row r="138">
      <c r="H138" s="7" t="n"/>
      <c r="I138" s="7" t="n"/>
      <c r="J138" s="7" t="n"/>
      <c r="K138" s="7" t="n"/>
      <c r="M138" s="8" t="n"/>
      <c r="P138" s="9" t="n"/>
      <c r="Q138" s="10" t="n"/>
      <c r="R138" s="10" t="n"/>
      <c r="S138" s="11" t="n"/>
      <c r="U138" s="12">
        <f>IF(OR(H138="",I138=""),"",ROUND(Settings!$B$4/ABS(H138-I138),2))</f>
        <v/>
      </c>
      <c r="V138" s="13">
        <f>IF(M138="","",ROUND(M138*Settings!$B$4,2))</f>
        <v/>
      </c>
      <c r="W138" s="12">
        <f>IF(M138="","",SUM($M$2:M138))</f>
        <v/>
      </c>
      <c r="X138" s="12">
        <f>IF(M138="","",MAX(0,N(X137),W138))</f>
        <v/>
      </c>
      <c r="Y138" s="12">
        <f>IF(M138="","",X138-W138)</f>
        <v/>
      </c>
      <c r="Z138" s="12">
        <f>IF(M138="","",IF(M138&lt;0,N(Z137)+1,0))</f>
        <v/>
      </c>
    </row>
    <row r="139">
      <c r="H139" s="7" t="n"/>
      <c r="I139" s="7" t="n"/>
      <c r="J139" s="7" t="n"/>
      <c r="K139" s="7" t="n"/>
      <c r="M139" s="8" t="n"/>
      <c r="P139" s="9" t="n"/>
      <c r="Q139" s="10" t="n"/>
      <c r="R139" s="10" t="n"/>
      <c r="S139" s="11" t="n"/>
      <c r="U139" s="12">
        <f>IF(OR(H139="",I139=""),"",ROUND(Settings!$B$4/ABS(H139-I139),2))</f>
        <v/>
      </c>
      <c r="V139" s="13">
        <f>IF(M139="","",ROUND(M139*Settings!$B$4,2))</f>
        <v/>
      </c>
      <c r="W139" s="12">
        <f>IF(M139="","",SUM($M$2:M139))</f>
        <v/>
      </c>
      <c r="X139" s="12">
        <f>IF(M139="","",MAX(0,N(X138),W139))</f>
        <v/>
      </c>
      <c r="Y139" s="12">
        <f>IF(M139="","",X139-W139)</f>
        <v/>
      </c>
      <c r="Z139" s="12">
        <f>IF(M139="","",IF(M139&lt;0,N(Z138)+1,0))</f>
        <v/>
      </c>
    </row>
    <row r="140">
      <c r="H140" s="7" t="n"/>
      <c r="I140" s="7" t="n"/>
      <c r="J140" s="7" t="n"/>
      <c r="K140" s="7" t="n"/>
      <c r="M140" s="8" t="n"/>
      <c r="P140" s="9" t="n"/>
      <c r="Q140" s="10" t="n"/>
      <c r="R140" s="10" t="n"/>
      <c r="S140" s="11" t="n"/>
      <c r="U140" s="12">
        <f>IF(OR(H140="",I140=""),"",ROUND(Settings!$B$4/ABS(H140-I140),2))</f>
        <v/>
      </c>
      <c r="V140" s="13">
        <f>IF(M140="","",ROUND(M140*Settings!$B$4,2))</f>
        <v/>
      </c>
      <c r="W140" s="12">
        <f>IF(M140="","",SUM($M$2:M140))</f>
        <v/>
      </c>
      <c r="X140" s="12">
        <f>IF(M140="","",MAX(0,N(X139),W140))</f>
        <v/>
      </c>
      <c r="Y140" s="12">
        <f>IF(M140="","",X140-W140)</f>
        <v/>
      </c>
      <c r="Z140" s="12">
        <f>IF(M140="","",IF(M140&lt;0,N(Z139)+1,0))</f>
        <v/>
      </c>
    </row>
    <row r="141">
      <c r="H141" s="7" t="n"/>
      <c r="I141" s="7" t="n"/>
      <c r="J141" s="7" t="n"/>
      <c r="K141" s="7" t="n"/>
      <c r="M141" s="8" t="n"/>
      <c r="P141" s="9" t="n"/>
      <c r="Q141" s="10" t="n"/>
      <c r="R141" s="10" t="n"/>
      <c r="S141" s="11" t="n"/>
      <c r="U141" s="12">
        <f>IF(OR(H141="",I141=""),"",ROUND(Settings!$B$4/ABS(H141-I141),2))</f>
        <v/>
      </c>
      <c r="V141" s="13">
        <f>IF(M141="","",ROUND(M141*Settings!$B$4,2))</f>
        <v/>
      </c>
      <c r="W141" s="12">
        <f>IF(M141="","",SUM($M$2:M141))</f>
        <v/>
      </c>
      <c r="X141" s="12">
        <f>IF(M141="","",MAX(0,N(X140),W141))</f>
        <v/>
      </c>
      <c r="Y141" s="12">
        <f>IF(M141="","",X141-W141)</f>
        <v/>
      </c>
      <c r="Z141" s="12">
        <f>IF(M141="","",IF(M141&lt;0,N(Z140)+1,0))</f>
        <v/>
      </c>
    </row>
    <row r="142">
      <c r="H142" s="7" t="n"/>
      <c r="I142" s="7" t="n"/>
      <c r="J142" s="7" t="n"/>
      <c r="K142" s="7" t="n"/>
      <c r="M142" s="8" t="n"/>
      <c r="P142" s="9" t="n"/>
      <c r="Q142" s="10" t="n"/>
      <c r="R142" s="10" t="n"/>
      <c r="S142" s="11" t="n"/>
      <c r="U142" s="12">
        <f>IF(OR(H142="",I142=""),"",ROUND(Settings!$B$4/ABS(H142-I142),2))</f>
        <v/>
      </c>
      <c r="V142" s="13">
        <f>IF(M142="","",ROUND(M142*Settings!$B$4,2))</f>
        <v/>
      </c>
      <c r="W142" s="12">
        <f>IF(M142="","",SUM($M$2:M142))</f>
        <v/>
      </c>
      <c r="X142" s="12">
        <f>IF(M142="","",MAX(0,N(X141),W142))</f>
        <v/>
      </c>
      <c r="Y142" s="12">
        <f>IF(M142="","",X142-W142)</f>
        <v/>
      </c>
      <c r="Z142" s="12">
        <f>IF(M142="","",IF(M142&lt;0,N(Z141)+1,0))</f>
        <v/>
      </c>
    </row>
    <row r="143">
      <c r="H143" s="7" t="n"/>
      <c r="I143" s="7" t="n"/>
      <c r="J143" s="7" t="n"/>
      <c r="K143" s="7" t="n"/>
      <c r="M143" s="8" t="n"/>
      <c r="P143" s="9" t="n"/>
      <c r="Q143" s="10" t="n"/>
      <c r="R143" s="10" t="n"/>
      <c r="S143" s="11" t="n"/>
      <c r="U143" s="12">
        <f>IF(OR(H143="",I143=""),"",ROUND(Settings!$B$4/ABS(H143-I143),2))</f>
        <v/>
      </c>
      <c r="V143" s="13">
        <f>IF(M143="","",ROUND(M143*Settings!$B$4,2))</f>
        <v/>
      </c>
      <c r="W143" s="12">
        <f>IF(M143="","",SUM($M$2:M143))</f>
        <v/>
      </c>
      <c r="X143" s="12">
        <f>IF(M143="","",MAX(0,N(X142),W143))</f>
        <v/>
      </c>
      <c r="Y143" s="12">
        <f>IF(M143="","",X143-W143)</f>
        <v/>
      </c>
      <c r="Z143" s="12">
        <f>IF(M143="","",IF(M143&lt;0,N(Z142)+1,0))</f>
        <v/>
      </c>
    </row>
    <row r="144">
      <c r="H144" s="7" t="n"/>
      <c r="I144" s="7" t="n"/>
      <c r="J144" s="7" t="n"/>
      <c r="K144" s="7" t="n"/>
      <c r="M144" s="8" t="n"/>
      <c r="P144" s="9" t="n"/>
      <c r="Q144" s="10" t="n"/>
      <c r="R144" s="10" t="n"/>
      <c r="S144" s="11" t="n"/>
      <c r="U144" s="12">
        <f>IF(OR(H144="",I144=""),"",ROUND(Settings!$B$4/ABS(H144-I144),2))</f>
        <v/>
      </c>
      <c r="V144" s="13">
        <f>IF(M144="","",ROUND(M144*Settings!$B$4,2))</f>
        <v/>
      </c>
      <c r="W144" s="12">
        <f>IF(M144="","",SUM($M$2:M144))</f>
        <v/>
      </c>
      <c r="X144" s="12">
        <f>IF(M144="","",MAX(0,N(X143),W144))</f>
        <v/>
      </c>
      <c r="Y144" s="12">
        <f>IF(M144="","",X144-W144)</f>
        <v/>
      </c>
      <c r="Z144" s="12">
        <f>IF(M144="","",IF(M144&lt;0,N(Z143)+1,0))</f>
        <v/>
      </c>
    </row>
    <row r="145">
      <c r="H145" s="7" t="n"/>
      <c r="I145" s="7" t="n"/>
      <c r="J145" s="7" t="n"/>
      <c r="K145" s="7" t="n"/>
      <c r="M145" s="8" t="n"/>
      <c r="P145" s="9" t="n"/>
      <c r="Q145" s="10" t="n"/>
      <c r="R145" s="10" t="n"/>
      <c r="S145" s="11" t="n"/>
      <c r="U145" s="12">
        <f>IF(OR(H145="",I145=""),"",ROUND(Settings!$B$4/ABS(H145-I145),2))</f>
        <v/>
      </c>
      <c r="V145" s="13">
        <f>IF(M145="","",ROUND(M145*Settings!$B$4,2))</f>
        <v/>
      </c>
      <c r="W145" s="12">
        <f>IF(M145="","",SUM($M$2:M145))</f>
        <v/>
      </c>
      <c r="X145" s="12">
        <f>IF(M145="","",MAX(0,N(X144),W145))</f>
        <v/>
      </c>
      <c r="Y145" s="12">
        <f>IF(M145="","",X145-W145)</f>
        <v/>
      </c>
      <c r="Z145" s="12">
        <f>IF(M145="","",IF(M145&lt;0,N(Z144)+1,0))</f>
        <v/>
      </c>
    </row>
    <row r="146">
      <c r="H146" s="7" t="n"/>
      <c r="I146" s="7" t="n"/>
      <c r="J146" s="7" t="n"/>
      <c r="K146" s="7" t="n"/>
      <c r="M146" s="8" t="n"/>
      <c r="P146" s="9" t="n"/>
      <c r="Q146" s="10" t="n"/>
      <c r="R146" s="10" t="n"/>
      <c r="S146" s="11" t="n"/>
      <c r="U146" s="12">
        <f>IF(OR(H146="",I146=""),"",ROUND(Settings!$B$4/ABS(H146-I146),2))</f>
        <v/>
      </c>
      <c r="V146" s="13">
        <f>IF(M146="","",ROUND(M146*Settings!$B$4,2))</f>
        <v/>
      </c>
      <c r="W146" s="12">
        <f>IF(M146="","",SUM($M$2:M146))</f>
        <v/>
      </c>
      <c r="X146" s="12">
        <f>IF(M146="","",MAX(0,N(X145),W146))</f>
        <v/>
      </c>
      <c r="Y146" s="12">
        <f>IF(M146="","",X146-W146)</f>
        <v/>
      </c>
      <c r="Z146" s="12">
        <f>IF(M146="","",IF(M146&lt;0,N(Z145)+1,0))</f>
        <v/>
      </c>
    </row>
    <row r="147">
      <c r="H147" s="7" t="n"/>
      <c r="I147" s="7" t="n"/>
      <c r="J147" s="7" t="n"/>
      <c r="K147" s="7" t="n"/>
      <c r="M147" s="8" t="n"/>
      <c r="P147" s="9" t="n"/>
      <c r="Q147" s="10" t="n"/>
      <c r="R147" s="10" t="n"/>
      <c r="S147" s="11" t="n"/>
      <c r="U147" s="12">
        <f>IF(OR(H147="",I147=""),"",ROUND(Settings!$B$4/ABS(H147-I147),2))</f>
        <v/>
      </c>
      <c r="V147" s="13">
        <f>IF(M147="","",ROUND(M147*Settings!$B$4,2))</f>
        <v/>
      </c>
      <c r="W147" s="12">
        <f>IF(M147="","",SUM($M$2:M147))</f>
        <v/>
      </c>
      <c r="X147" s="12">
        <f>IF(M147="","",MAX(0,N(X146),W147))</f>
        <v/>
      </c>
      <c r="Y147" s="12">
        <f>IF(M147="","",X147-W147)</f>
        <v/>
      </c>
      <c r="Z147" s="12">
        <f>IF(M147="","",IF(M147&lt;0,N(Z146)+1,0))</f>
        <v/>
      </c>
    </row>
    <row r="148">
      <c r="H148" s="7" t="n"/>
      <c r="I148" s="7" t="n"/>
      <c r="J148" s="7" t="n"/>
      <c r="K148" s="7" t="n"/>
      <c r="M148" s="8" t="n"/>
      <c r="P148" s="9" t="n"/>
      <c r="Q148" s="10" t="n"/>
      <c r="R148" s="10" t="n"/>
      <c r="S148" s="11" t="n"/>
      <c r="U148" s="12">
        <f>IF(OR(H148="",I148=""),"",ROUND(Settings!$B$4/ABS(H148-I148),2))</f>
        <v/>
      </c>
      <c r="V148" s="13">
        <f>IF(M148="","",ROUND(M148*Settings!$B$4,2))</f>
        <v/>
      </c>
      <c r="W148" s="12">
        <f>IF(M148="","",SUM($M$2:M148))</f>
        <v/>
      </c>
      <c r="X148" s="12">
        <f>IF(M148="","",MAX(0,N(X147),W148))</f>
        <v/>
      </c>
      <c r="Y148" s="12">
        <f>IF(M148="","",X148-W148)</f>
        <v/>
      </c>
      <c r="Z148" s="12">
        <f>IF(M148="","",IF(M148&lt;0,N(Z147)+1,0))</f>
        <v/>
      </c>
    </row>
    <row r="149">
      <c r="H149" s="7" t="n"/>
      <c r="I149" s="7" t="n"/>
      <c r="J149" s="7" t="n"/>
      <c r="K149" s="7" t="n"/>
      <c r="M149" s="8" t="n"/>
      <c r="P149" s="9" t="n"/>
      <c r="Q149" s="10" t="n"/>
      <c r="R149" s="10" t="n"/>
      <c r="S149" s="11" t="n"/>
      <c r="U149" s="12">
        <f>IF(OR(H149="",I149=""),"",ROUND(Settings!$B$4/ABS(H149-I149),2))</f>
        <v/>
      </c>
      <c r="V149" s="13">
        <f>IF(M149="","",ROUND(M149*Settings!$B$4,2))</f>
        <v/>
      </c>
      <c r="W149" s="12">
        <f>IF(M149="","",SUM($M$2:M149))</f>
        <v/>
      </c>
      <c r="X149" s="12">
        <f>IF(M149="","",MAX(0,N(X148),W149))</f>
        <v/>
      </c>
      <c r="Y149" s="12">
        <f>IF(M149="","",X149-W149)</f>
        <v/>
      </c>
      <c r="Z149" s="12">
        <f>IF(M149="","",IF(M149&lt;0,N(Z148)+1,0))</f>
        <v/>
      </c>
    </row>
    <row r="150">
      <c r="H150" s="7" t="n"/>
      <c r="I150" s="7" t="n"/>
      <c r="J150" s="7" t="n"/>
      <c r="K150" s="7" t="n"/>
      <c r="M150" s="8" t="n"/>
      <c r="P150" s="9" t="n"/>
      <c r="Q150" s="10" t="n"/>
      <c r="R150" s="10" t="n"/>
      <c r="S150" s="11" t="n"/>
      <c r="U150" s="12">
        <f>IF(OR(H150="",I150=""),"",ROUND(Settings!$B$4/ABS(H150-I150),2))</f>
        <v/>
      </c>
      <c r="V150" s="13">
        <f>IF(M150="","",ROUND(M150*Settings!$B$4,2))</f>
        <v/>
      </c>
      <c r="W150" s="12">
        <f>IF(M150="","",SUM($M$2:M150))</f>
        <v/>
      </c>
      <c r="X150" s="12">
        <f>IF(M150="","",MAX(0,N(X149),W150))</f>
        <v/>
      </c>
      <c r="Y150" s="12">
        <f>IF(M150="","",X150-W150)</f>
        <v/>
      </c>
      <c r="Z150" s="12">
        <f>IF(M150="","",IF(M150&lt;0,N(Z149)+1,0))</f>
        <v/>
      </c>
    </row>
    <row r="151">
      <c r="H151" s="7" t="n"/>
      <c r="I151" s="7" t="n"/>
      <c r="J151" s="7" t="n"/>
      <c r="K151" s="7" t="n"/>
      <c r="M151" s="8" t="n"/>
      <c r="P151" s="9" t="n"/>
      <c r="Q151" s="10" t="n"/>
      <c r="R151" s="10" t="n"/>
      <c r="S151" s="11" t="n"/>
      <c r="U151" s="12">
        <f>IF(OR(H151="",I151=""),"",ROUND(Settings!$B$4/ABS(H151-I151),2))</f>
        <v/>
      </c>
      <c r="V151" s="13">
        <f>IF(M151="","",ROUND(M151*Settings!$B$4,2))</f>
        <v/>
      </c>
      <c r="W151" s="12">
        <f>IF(M151="","",SUM($M$2:M151))</f>
        <v/>
      </c>
      <c r="X151" s="12">
        <f>IF(M151="","",MAX(0,N(X150),W151))</f>
        <v/>
      </c>
      <c r="Y151" s="12">
        <f>IF(M151="","",X151-W151)</f>
        <v/>
      </c>
      <c r="Z151" s="12">
        <f>IF(M151="","",IF(M151&lt;0,N(Z150)+1,0))</f>
        <v/>
      </c>
    </row>
    <row r="152">
      <c r="H152" s="7" t="n"/>
      <c r="I152" s="7" t="n"/>
      <c r="J152" s="7" t="n"/>
      <c r="K152" s="7" t="n"/>
      <c r="M152" s="8" t="n"/>
      <c r="P152" s="9" t="n"/>
      <c r="Q152" s="10" t="n"/>
      <c r="R152" s="10" t="n"/>
      <c r="S152" s="11" t="n"/>
      <c r="U152" s="12">
        <f>IF(OR(H152="",I152=""),"",ROUND(Settings!$B$4/ABS(H152-I152),2))</f>
        <v/>
      </c>
      <c r="V152" s="13">
        <f>IF(M152="","",ROUND(M152*Settings!$B$4,2))</f>
        <v/>
      </c>
      <c r="W152" s="12">
        <f>IF(M152="","",SUM($M$2:M152))</f>
        <v/>
      </c>
      <c r="X152" s="12">
        <f>IF(M152="","",MAX(0,N(X151),W152))</f>
        <v/>
      </c>
      <c r="Y152" s="12">
        <f>IF(M152="","",X152-W152)</f>
        <v/>
      </c>
      <c r="Z152" s="12">
        <f>IF(M152="","",IF(M152&lt;0,N(Z151)+1,0))</f>
        <v/>
      </c>
    </row>
    <row r="153">
      <c r="H153" s="7" t="n"/>
      <c r="I153" s="7" t="n"/>
      <c r="J153" s="7" t="n"/>
      <c r="K153" s="7" t="n"/>
      <c r="M153" s="8" t="n"/>
      <c r="P153" s="9" t="n"/>
      <c r="Q153" s="10" t="n"/>
      <c r="R153" s="10" t="n"/>
      <c r="S153" s="11" t="n"/>
      <c r="U153" s="12">
        <f>IF(OR(H153="",I153=""),"",ROUND(Settings!$B$4/ABS(H153-I153),2))</f>
        <v/>
      </c>
      <c r="V153" s="13">
        <f>IF(M153="","",ROUND(M153*Settings!$B$4,2))</f>
        <v/>
      </c>
      <c r="W153" s="12">
        <f>IF(M153="","",SUM($M$2:M153))</f>
        <v/>
      </c>
      <c r="X153" s="12">
        <f>IF(M153="","",MAX(0,N(X152),W153))</f>
        <v/>
      </c>
      <c r="Y153" s="12">
        <f>IF(M153="","",X153-W153)</f>
        <v/>
      </c>
      <c r="Z153" s="12">
        <f>IF(M153="","",IF(M153&lt;0,N(Z152)+1,0))</f>
        <v/>
      </c>
    </row>
    <row r="154">
      <c r="H154" s="7" t="n"/>
      <c r="I154" s="7" t="n"/>
      <c r="J154" s="7" t="n"/>
      <c r="K154" s="7" t="n"/>
      <c r="M154" s="8" t="n"/>
      <c r="P154" s="9" t="n"/>
      <c r="Q154" s="10" t="n"/>
      <c r="R154" s="10" t="n"/>
      <c r="S154" s="11" t="n"/>
      <c r="U154" s="12">
        <f>IF(OR(H154="",I154=""),"",ROUND(Settings!$B$4/ABS(H154-I154),2))</f>
        <v/>
      </c>
      <c r="V154" s="13">
        <f>IF(M154="","",ROUND(M154*Settings!$B$4,2))</f>
        <v/>
      </c>
      <c r="W154" s="12">
        <f>IF(M154="","",SUM($M$2:M154))</f>
        <v/>
      </c>
      <c r="X154" s="12">
        <f>IF(M154="","",MAX(0,N(X153),W154))</f>
        <v/>
      </c>
      <c r="Y154" s="12">
        <f>IF(M154="","",X154-W154)</f>
        <v/>
      </c>
      <c r="Z154" s="12">
        <f>IF(M154="","",IF(M154&lt;0,N(Z153)+1,0))</f>
        <v/>
      </c>
    </row>
    <row r="155">
      <c r="H155" s="7" t="n"/>
      <c r="I155" s="7" t="n"/>
      <c r="J155" s="7" t="n"/>
      <c r="K155" s="7" t="n"/>
      <c r="M155" s="8" t="n"/>
      <c r="P155" s="9" t="n"/>
      <c r="Q155" s="10" t="n"/>
      <c r="R155" s="10" t="n"/>
      <c r="S155" s="11" t="n"/>
      <c r="U155" s="12">
        <f>IF(OR(H155="",I155=""),"",ROUND(Settings!$B$4/ABS(H155-I155),2))</f>
        <v/>
      </c>
      <c r="V155" s="13">
        <f>IF(M155="","",ROUND(M155*Settings!$B$4,2))</f>
        <v/>
      </c>
      <c r="W155" s="12">
        <f>IF(M155="","",SUM($M$2:M155))</f>
        <v/>
      </c>
      <c r="X155" s="12">
        <f>IF(M155="","",MAX(0,N(X154),W155))</f>
        <v/>
      </c>
      <c r="Y155" s="12">
        <f>IF(M155="","",X155-W155)</f>
        <v/>
      </c>
      <c r="Z155" s="12">
        <f>IF(M155="","",IF(M155&lt;0,N(Z154)+1,0))</f>
        <v/>
      </c>
    </row>
    <row r="156">
      <c r="H156" s="7" t="n"/>
      <c r="I156" s="7" t="n"/>
      <c r="J156" s="7" t="n"/>
      <c r="K156" s="7" t="n"/>
      <c r="M156" s="8" t="n"/>
      <c r="P156" s="9" t="n"/>
      <c r="Q156" s="10" t="n"/>
      <c r="R156" s="10" t="n"/>
      <c r="S156" s="11" t="n"/>
      <c r="U156" s="12">
        <f>IF(OR(H156="",I156=""),"",ROUND(Settings!$B$4/ABS(H156-I156),2))</f>
        <v/>
      </c>
      <c r="V156" s="13">
        <f>IF(M156="","",ROUND(M156*Settings!$B$4,2))</f>
        <v/>
      </c>
      <c r="W156" s="12">
        <f>IF(M156="","",SUM($M$2:M156))</f>
        <v/>
      </c>
      <c r="X156" s="12">
        <f>IF(M156="","",MAX(0,N(X155),W156))</f>
        <v/>
      </c>
      <c r="Y156" s="12">
        <f>IF(M156="","",X156-W156)</f>
        <v/>
      </c>
      <c r="Z156" s="12">
        <f>IF(M156="","",IF(M156&lt;0,N(Z155)+1,0))</f>
        <v/>
      </c>
    </row>
    <row r="157">
      <c r="H157" s="7" t="n"/>
      <c r="I157" s="7" t="n"/>
      <c r="J157" s="7" t="n"/>
      <c r="K157" s="7" t="n"/>
      <c r="M157" s="8" t="n"/>
      <c r="P157" s="9" t="n"/>
      <c r="Q157" s="10" t="n"/>
      <c r="R157" s="10" t="n"/>
      <c r="S157" s="11" t="n"/>
      <c r="U157" s="12">
        <f>IF(OR(H157="",I157=""),"",ROUND(Settings!$B$4/ABS(H157-I157),2))</f>
        <v/>
      </c>
      <c r="V157" s="13">
        <f>IF(M157="","",ROUND(M157*Settings!$B$4,2))</f>
        <v/>
      </c>
      <c r="W157" s="12">
        <f>IF(M157="","",SUM($M$2:M157))</f>
        <v/>
      </c>
      <c r="X157" s="12">
        <f>IF(M157="","",MAX(0,N(X156),W157))</f>
        <v/>
      </c>
      <c r="Y157" s="12">
        <f>IF(M157="","",X157-W157)</f>
        <v/>
      </c>
      <c r="Z157" s="12">
        <f>IF(M157="","",IF(M157&lt;0,N(Z156)+1,0))</f>
        <v/>
      </c>
    </row>
    <row r="158">
      <c r="H158" s="7" t="n"/>
      <c r="I158" s="7" t="n"/>
      <c r="J158" s="7" t="n"/>
      <c r="K158" s="7" t="n"/>
      <c r="M158" s="8" t="n"/>
      <c r="P158" s="9" t="n"/>
      <c r="Q158" s="10" t="n"/>
      <c r="R158" s="10" t="n"/>
      <c r="S158" s="11" t="n"/>
      <c r="U158" s="12">
        <f>IF(OR(H158="",I158=""),"",ROUND(Settings!$B$4/ABS(H158-I158),2))</f>
        <v/>
      </c>
      <c r="V158" s="13">
        <f>IF(M158="","",ROUND(M158*Settings!$B$4,2))</f>
        <v/>
      </c>
      <c r="W158" s="12">
        <f>IF(M158="","",SUM($M$2:M158))</f>
        <v/>
      </c>
      <c r="X158" s="12">
        <f>IF(M158="","",MAX(0,N(X157),W158))</f>
        <v/>
      </c>
      <c r="Y158" s="12">
        <f>IF(M158="","",X158-W158)</f>
        <v/>
      </c>
      <c r="Z158" s="12">
        <f>IF(M158="","",IF(M158&lt;0,N(Z157)+1,0))</f>
        <v/>
      </c>
    </row>
    <row r="159">
      <c r="H159" s="7" t="n"/>
      <c r="I159" s="7" t="n"/>
      <c r="J159" s="7" t="n"/>
      <c r="K159" s="7" t="n"/>
      <c r="M159" s="8" t="n"/>
      <c r="P159" s="9" t="n"/>
      <c r="Q159" s="10" t="n"/>
      <c r="R159" s="10" t="n"/>
      <c r="S159" s="11" t="n"/>
      <c r="U159" s="12">
        <f>IF(OR(H159="",I159=""),"",ROUND(Settings!$B$4/ABS(H159-I159),2))</f>
        <v/>
      </c>
      <c r="V159" s="13">
        <f>IF(M159="","",ROUND(M159*Settings!$B$4,2))</f>
        <v/>
      </c>
      <c r="W159" s="12">
        <f>IF(M159="","",SUM($M$2:M159))</f>
        <v/>
      </c>
      <c r="X159" s="12">
        <f>IF(M159="","",MAX(0,N(X158),W159))</f>
        <v/>
      </c>
      <c r="Y159" s="12">
        <f>IF(M159="","",X159-W159)</f>
        <v/>
      </c>
      <c r="Z159" s="12">
        <f>IF(M159="","",IF(M159&lt;0,N(Z158)+1,0))</f>
        <v/>
      </c>
    </row>
    <row r="160">
      <c r="H160" s="7" t="n"/>
      <c r="I160" s="7" t="n"/>
      <c r="J160" s="7" t="n"/>
      <c r="K160" s="7" t="n"/>
      <c r="M160" s="8" t="n"/>
      <c r="P160" s="9" t="n"/>
      <c r="Q160" s="10" t="n"/>
      <c r="R160" s="10" t="n"/>
      <c r="S160" s="11" t="n"/>
      <c r="U160" s="12">
        <f>IF(OR(H160="",I160=""),"",ROUND(Settings!$B$4/ABS(H160-I160),2))</f>
        <v/>
      </c>
      <c r="V160" s="13">
        <f>IF(M160="","",ROUND(M160*Settings!$B$4,2))</f>
        <v/>
      </c>
      <c r="W160" s="12">
        <f>IF(M160="","",SUM($M$2:M160))</f>
        <v/>
      </c>
      <c r="X160" s="12">
        <f>IF(M160="","",MAX(0,N(X159),W160))</f>
        <v/>
      </c>
      <c r="Y160" s="12">
        <f>IF(M160="","",X160-W160)</f>
        <v/>
      </c>
      <c r="Z160" s="12">
        <f>IF(M160="","",IF(M160&lt;0,N(Z159)+1,0))</f>
        <v/>
      </c>
    </row>
    <row r="161">
      <c r="H161" s="7" t="n"/>
      <c r="I161" s="7" t="n"/>
      <c r="J161" s="7" t="n"/>
      <c r="K161" s="7" t="n"/>
      <c r="M161" s="8" t="n"/>
      <c r="P161" s="9" t="n"/>
      <c r="Q161" s="10" t="n"/>
      <c r="R161" s="10" t="n"/>
      <c r="S161" s="11" t="n"/>
      <c r="U161" s="12">
        <f>IF(OR(H161="",I161=""),"",ROUND(Settings!$B$4/ABS(H161-I161),2))</f>
        <v/>
      </c>
      <c r="V161" s="13">
        <f>IF(M161="","",ROUND(M161*Settings!$B$4,2))</f>
        <v/>
      </c>
      <c r="W161" s="12">
        <f>IF(M161="","",SUM($M$2:M161))</f>
        <v/>
      </c>
      <c r="X161" s="12">
        <f>IF(M161="","",MAX(0,N(X160),W161))</f>
        <v/>
      </c>
      <c r="Y161" s="12">
        <f>IF(M161="","",X161-W161)</f>
        <v/>
      </c>
      <c r="Z161" s="12">
        <f>IF(M161="","",IF(M161&lt;0,N(Z160)+1,0))</f>
        <v/>
      </c>
    </row>
    <row r="162">
      <c r="H162" s="7" t="n"/>
      <c r="I162" s="7" t="n"/>
      <c r="J162" s="7" t="n"/>
      <c r="K162" s="7" t="n"/>
      <c r="M162" s="8" t="n"/>
      <c r="P162" s="9" t="n"/>
      <c r="Q162" s="10" t="n"/>
      <c r="R162" s="10" t="n"/>
      <c r="S162" s="11" t="n"/>
      <c r="U162" s="12">
        <f>IF(OR(H162="",I162=""),"",ROUND(Settings!$B$4/ABS(H162-I162),2))</f>
        <v/>
      </c>
      <c r="V162" s="13">
        <f>IF(M162="","",ROUND(M162*Settings!$B$4,2))</f>
        <v/>
      </c>
      <c r="W162" s="12">
        <f>IF(M162="","",SUM($M$2:M162))</f>
        <v/>
      </c>
      <c r="X162" s="12">
        <f>IF(M162="","",MAX(0,N(X161),W162))</f>
        <v/>
      </c>
      <c r="Y162" s="12">
        <f>IF(M162="","",X162-W162)</f>
        <v/>
      </c>
      <c r="Z162" s="12">
        <f>IF(M162="","",IF(M162&lt;0,N(Z161)+1,0))</f>
        <v/>
      </c>
    </row>
    <row r="163">
      <c r="H163" s="7" t="n"/>
      <c r="I163" s="7" t="n"/>
      <c r="J163" s="7" t="n"/>
      <c r="K163" s="7" t="n"/>
      <c r="M163" s="8" t="n"/>
      <c r="P163" s="9" t="n"/>
      <c r="Q163" s="10" t="n"/>
      <c r="R163" s="10" t="n"/>
      <c r="S163" s="11" t="n"/>
      <c r="U163" s="12">
        <f>IF(OR(H163="",I163=""),"",ROUND(Settings!$B$4/ABS(H163-I163),2))</f>
        <v/>
      </c>
      <c r="V163" s="13">
        <f>IF(M163="","",ROUND(M163*Settings!$B$4,2))</f>
        <v/>
      </c>
      <c r="W163" s="12">
        <f>IF(M163="","",SUM($M$2:M163))</f>
        <v/>
      </c>
      <c r="X163" s="12">
        <f>IF(M163="","",MAX(0,N(X162),W163))</f>
        <v/>
      </c>
      <c r="Y163" s="12">
        <f>IF(M163="","",X163-W163)</f>
        <v/>
      </c>
      <c r="Z163" s="12">
        <f>IF(M163="","",IF(M163&lt;0,N(Z162)+1,0))</f>
        <v/>
      </c>
    </row>
    <row r="164">
      <c r="H164" s="7" t="n"/>
      <c r="I164" s="7" t="n"/>
      <c r="J164" s="7" t="n"/>
      <c r="K164" s="7" t="n"/>
      <c r="M164" s="8" t="n"/>
      <c r="P164" s="9" t="n"/>
      <c r="Q164" s="10" t="n"/>
      <c r="R164" s="10" t="n"/>
      <c r="S164" s="11" t="n"/>
      <c r="U164" s="12">
        <f>IF(OR(H164="",I164=""),"",ROUND(Settings!$B$4/ABS(H164-I164),2))</f>
        <v/>
      </c>
      <c r="V164" s="13">
        <f>IF(M164="","",ROUND(M164*Settings!$B$4,2))</f>
        <v/>
      </c>
      <c r="W164" s="12">
        <f>IF(M164="","",SUM($M$2:M164))</f>
        <v/>
      </c>
      <c r="X164" s="12">
        <f>IF(M164="","",MAX(0,N(X163),W164))</f>
        <v/>
      </c>
      <c r="Y164" s="12">
        <f>IF(M164="","",X164-W164)</f>
        <v/>
      </c>
      <c r="Z164" s="12">
        <f>IF(M164="","",IF(M164&lt;0,N(Z163)+1,0))</f>
        <v/>
      </c>
    </row>
    <row r="165">
      <c r="H165" s="7" t="n"/>
      <c r="I165" s="7" t="n"/>
      <c r="J165" s="7" t="n"/>
      <c r="K165" s="7" t="n"/>
      <c r="M165" s="8" t="n"/>
      <c r="P165" s="9" t="n"/>
      <c r="Q165" s="10" t="n"/>
      <c r="R165" s="10" t="n"/>
      <c r="S165" s="11" t="n"/>
      <c r="U165" s="12">
        <f>IF(OR(H165="",I165=""),"",ROUND(Settings!$B$4/ABS(H165-I165),2))</f>
        <v/>
      </c>
      <c r="V165" s="13">
        <f>IF(M165="","",ROUND(M165*Settings!$B$4,2))</f>
        <v/>
      </c>
      <c r="W165" s="12">
        <f>IF(M165="","",SUM($M$2:M165))</f>
        <v/>
      </c>
      <c r="X165" s="12">
        <f>IF(M165="","",MAX(0,N(X164),W165))</f>
        <v/>
      </c>
      <c r="Y165" s="12">
        <f>IF(M165="","",X165-W165)</f>
        <v/>
      </c>
      <c r="Z165" s="12">
        <f>IF(M165="","",IF(M165&lt;0,N(Z164)+1,0))</f>
        <v/>
      </c>
    </row>
    <row r="166">
      <c r="H166" s="7" t="n"/>
      <c r="I166" s="7" t="n"/>
      <c r="J166" s="7" t="n"/>
      <c r="K166" s="7" t="n"/>
      <c r="M166" s="8" t="n"/>
      <c r="P166" s="9" t="n"/>
      <c r="Q166" s="10" t="n"/>
      <c r="R166" s="10" t="n"/>
      <c r="S166" s="11" t="n"/>
      <c r="U166" s="12">
        <f>IF(OR(H166="",I166=""),"",ROUND(Settings!$B$4/ABS(H166-I166),2))</f>
        <v/>
      </c>
      <c r="V166" s="13">
        <f>IF(M166="","",ROUND(M166*Settings!$B$4,2))</f>
        <v/>
      </c>
      <c r="W166" s="12">
        <f>IF(M166="","",SUM($M$2:M166))</f>
        <v/>
      </c>
      <c r="X166" s="12">
        <f>IF(M166="","",MAX(0,N(X165),W166))</f>
        <v/>
      </c>
      <c r="Y166" s="12">
        <f>IF(M166="","",X166-W166)</f>
        <v/>
      </c>
      <c r="Z166" s="12">
        <f>IF(M166="","",IF(M166&lt;0,N(Z165)+1,0))</f>
        <v/>
      </c>
    </row>
    <row r="167">
      <c r="H167" s="7" t="n"/>
      <c r="I167" s="7" t="n"/>
      <c r="J167" s="7" t="n"/>
      <c r="K167" s="7" t="n"/>
      <c r="M167" s="8" t="n"/>
      <c r="P167" s="9" t="n"/>
      <c r="Q167" s="10" t="n"/>
      <c r="R167" s="10" t="n"/>
      <c r="S167" s="11" t="n"/>
      <c r="U167" s="12">
        <f>IF(OR(H167="",I167=""),"",ROUND(Settings!$B$4/ABS(H167-I167),2))</f>
        <v/>
      </c>
      <c r="V167" s="13">
        <f>IF(M167="","",ROUND(M167*Settings!$B$4,2))</f>
        <v/>
      </c>
      <c r="W167" s="12">
        <f>IF(M167="","",SUM($M$2:M167))</f>
        <v/>
      </c>
      <c r="X167" s="12">
        <f>IF(M167="","",MAX(0,N(X166),W167))</f>
        <v/>
      </c>
      <c r="Y167" s="12">
        <f>IF(M167="","",X167-W167)</f>
        <v/>
      </c>
      <c r="Z167" s="12">
        <f>IF(M167="","",IF(M167&lt;0,N(Z166)+1,0))</f>
        <v/>
      </c>
    </row>
    <row r="168">
      <c r="H168" s="7" t="n"/>
      <c r="I168" s="7" t="n"/>
      <c r="J168" s="7" t="n"/>
      <c r="K168" s="7" t="n"/>
      <c r="M168" s="8" t="n"/>
      <c r="P168" s="9" t="n"/>
      <c r="Q168" s="10" t="n"/>
      <c r="R168" s="10" t="n"/>
      <c r="S168" s="11" t="n"/>
      <c r="U168" s="12">
        <f>IF(OR(H168="",I168=""),"",ROUND(Settings!$B$4/ABS(H168-I168),2))</f>
        <v/>
      </c>
      <c r="V168" s="13">
        <f>IF(M168="","",ROUND(M168*Settings!$B$4,2))</f>
        <v/>
      </c>
      <c r="W168" s="12">
        <f>IF(M168="","",SUM($M$2:M168))</f>
        <v/>
      </c>
      <c r="X168" s="12">
        <f>IF(M168="","",MAX(0,N(X167),W168))</f>
        <v/>
      </c>
      <c r="Y168" s="12">
        <f>IF(M168="","",X168-W168)</f>
        <v/>
      </c>
      <c r="Z168" s="12">
        <f>IF(M168="","",IF(M168&lt;0,N(Z167)+1,0))</f>
        <v/>
      </c>
    </row>
    <row r="169">
      <c r="H169" s="7" t="n"/>
      <c r="I169" s="7" t="n"/>
      <c r="J169" s="7" t="n"/>
      <c r="K169" s="7" t="n"/>
      <c r="M169" s="8" t="n"/>
      <c r="P169" s="9" t="n"/>
      <c r="Q169" s="10" t="n"/>
      <c r="R169" s="10" t="n"/>
      <c r="S169" s="11" t="n"/>
      <c r="U169" s="12">
        <f>IF(OR(H169="",I169=""),"",ROUND(Settings!$B$4/ABS(H169-I169),2))</f>
        <v/>
      </c>
      <c r="V169" s="13">
        <f>IF(M169="","",ROUND(M169*Settings!$B$4,2))</f>
        <v/>
      </c>
      <c r="W169" s="12">
        <f>IF(M169="","",SUM($M$2:M169))</f>
        <v/>
      </c>
      <c r="X169" s="12">
        <f>IF(M169="","",MAX(0,N(X168),W169))</f>
        <v/>
      </c>
      <c r="Y169" s="12">
        <f>IF(M169="","",X169-W169)</f>
        <v/>
      </c>
      <c r="Z169" s="12">
        <f>IF(M169="","",IF(M169&lt;0,N(Z168)+1,0))</f>
        <v/>
      </c>
    </row>
    <row r="170">
      <c r="H170" s="7" t="n"/>
      <c r="I170" s="7" t="n"/>
      <c r="J170" s="7" t="n"/>
      <c r="K170" s="7" t="n"/>
      <c r="M170" s="8" t="n"/>
      <c r="P170" s="9" t="n"/>
      <c r="Q170" s="10" t="n"/>
      <c r="R170" s="10" t="n"/>
      <c r="S170" s="11" t="n"/>
      <c r="U170" s="12">
        <f>IF(OR(H170="",I170=""),"",ROUND(Settings!$B$4/ABS(H170-I170),2))</f>
        <v/>
      </c>
      <c r="V170" s="13">
        <f>IF(M170="","",ROUND(M170*Settings!$B$4,2))</f>
        <v/>
      </c>
      <c r="W170" s="12">
        <f>IF(M170="","",SUM($M$2:M170))</f>
        <v/>
      </c>
      <c r="X170" s="12">
        <f>IF(M170="","",MAX(0,N(X169),W170))</f>
        <v/>
      </c>
      <c r="Y170" s="12">
        <f>IF(M170="","",X170-W170)</f>
        <v/>
      </c>
      <c r="Z170" s="12">
        <f>IF(M170="","",IF(M170&lt;0,N(Z169)+1,0))</f>
        <v/>
      </c>
    </row>
    <row r="171">
      <c r="H171" s="7" t="n"/>
      <c r="I171" s="7" t="n"/>
      <c r="J171" s="7" t="n"/>
      <c r="K171" s="7" t="n"/>
      <c r="M171" s="8" t="n"/>
      <c r="P171" s="9" t="n"/>
      <c r="Q171" s="10" t="n"/>
      <c r="R171" s="10" t="n"/>
      <c r="S171" s="11" t="n"/>
      <c r="U171" s="12">
        <f>IF(OR(H171="",I171=""),"",ROUND(Settings!$B$4/ABS(H171-I171),2))</f>
        <v/>
      </c>
      <c r="V171" s="13">
        <f>IF(M171="","",ROUND(M171*Settings!$B$4,2))</f>
        <v/>
      </c>
      <c r="W171" s="12">
        <f>IF(M171="","",SUM($M$2:M171))</f>
        <v/>
      </c>
      <c r="X171" s="12">
        <f>IF(M171="","",MAX(0,N(X170),W171))</f>
        <v/>
      </c>
      <c r="Y171" s="12">
        <f>IF(M171="","",X171-W171)</f>
        <v/>
      </c>
      <c r="Z171" s="12">
        <f>IF(M171="","",IF(M171&lt;0,N(Z170)+1,0))</f>
        <v/>
      </c>
    </row>
    <row r="172">
      <c r="H172" s="7" t="n"/>
      <c r="I172" s="7" t="n"/>
      <c r="J172" s="7" t="n"/>
      <c r="K172" s="7" t="n"/>
      <c r="M172" s="8" t="n"/>
      <c r="P172" s="9" t="n"/>
      <c r="Q172" s="10" t="n"/>
      <c r="R172" s="10" t="n"/>
      <c r="S172" s="11" t="n"/>
      <c r="U172" s="12">
        <f>IF(OR(H172="",I172=""),"",ROUND(Settings!$B$4/ABS(H172-I172),2))</f>
        <v/>
      </c>
      <c r="V172" s="13">
        <f>IF(M172="","",ROUND(M172*Settings!$B$4,2))</f>
        <v/>
      </c>
      <c r="W172" s="12">
        <f>IF(M172="","",SUM($M$2:M172))</f>
        <v/>
      </c>
      <c r="X172" s="12">
        <f>IF(M172="","",MAX(0,N(X171),W172))</f>
        <v/>
      </c>
      <c r="Y172" s="12">
        <f>IF(M172="","",X172-W172)</f>
        <v/>
      </c>
      <c r="Z172" s="12">
        <f>IF(M172="","",IF(M172&lt;0,N(Z171)+1,0))</f>
        <v/>
      </c>
    </row>
    <row r="173">
      <c r="H173" s="7" t="n"/>
      <c r="I173" s="7" t="n"/>
      <c r="J173" s="7" t="n"/>
      <c r="K173" s="7" t="n"/>
      <c r="M173" s="8" t="n"/>
      <c r="P173" s="9" t="n"/>
      <c r="Q173" s="10" t="n"/>
      <c r="R173" s="10" t="n"/>
      <c r="S173" s="11" t="n"/>
      <c r="U173" s="12">
        <f>IF(OR(H173="",I173=""),"",ROUND(Settings!$B$4/ABS(H173-I173),2))</f>
        <v/>
      </c>
      <c r="V173" s="13">
        <f>IF(M173="","",ROUND(M173*Settings!$B$4,2))</f>
        <v/>
      </c>
      <c r="W173" s="12">
        <f>IF(M173="","",SUM($M$2:M173))</f>
        <v/>
      </c>
      <c r="X173" s="12">
        <f>IF(M173="","",MAX(0,N(X172),W173))</f>
        <v/>
      </c>
      <c r="Y173" s="12">
        <f>IF(M173="","",X173-W173)</f>
        <v/>
      </c>
      <c r="Z173" s="12">
        <f>IF(M173="","",IF(M173&lt;0,N(Z172)+1,0))</f>
        <v/>
      </c>
    </row>
    <row r="174">
      <c r="H174" s="7" t="n"/>
      <c r="I174" s="7" t="n"/>
      <c r="J174" s="7" t="n"/>
      <c r="K174" s="7" t="n"/>
      <c r="M174" s="8" t="n"/>
      <c r="P174" s="9" t="n"/>
      <c r="Q174" s="10" t="n"/>
      <c r="R174" s="10" t="n"/>
      <c r="S174" s="11" t="n"/>
      <c r="U174" s="12">
        <f>IF(OR(H174="",I174=""),"",ROUND(Settings!$B$4/ABS(H174-I174),2))</f>
        <v/>
      </c>
      <c r="V174" s="13">
        <f>IF(M174="","",ROUND(M174*Settings!$B$4,2))</f>
        <v/>
      </c>
      <c r="W174" s="12">
        <f>IF(M174="","",SUM($M$2:M174))</f>
        <v/>
      </c>
      <c r="X174" s="12">
        <f>IF(M174="","",MAX(0,N(X173),W174))</f>
        <v/>
      </c>
      <c r="Y174" s="12">
        <f>IF(M174="","",X174-W174)</f>
        <v/>
      </c>
      <c r="Z174" s="12">
        <f>IF(M174="","",IF(M174&lt;0,N(Z173)+1,0))</f>
        <v/>
      </c>
    </row>
    <row r="175">
      <c r="H175" s="7" t="n"/>
      <c r="I175" s="7" t="n"/>
      <c r="J175" s="7" t="n"/>
      <c r="K175" s="7" t="n"/>
      <c r="M175" s="8" t="n"/>
      <c r="P175" s="9" t="n"/>
      <c r="Q175" s="10" t="n"/>
      <c r="R175" s="10" t="n"/>
      <c r="S175" s="11" t="n"/>
      <c r="U175" s="12">
        <f>IF(OR(H175="",I175=""),"",ROUND(Settings!$B$4/ABS(H175-I175),2))</f>
        <v/>
      </c>
      <c r="V175" s="13">
        <f>IF(M175="","",ROUND(M175*Settings!$B$4,2))</f>
        <v/>
      </c>
      <c r="W175" s="12">
        <f>IF(M175="","",SUM($M$2:M175))</f>
        <v/>
      </c>
      <c r="X175" s="12">
        <f>IF(M175="","",MAX(0,N(X174),W175))</f>
        <v/>
      </c>
      <c r="Y175" s="12">
        <f>IF(M175="","",X175-W175)</f>
        <v/>
      </c>
      <c r="Z175" s="12">
        <f>IF(M175="","",IF(M175&lt;0,N(Z174)+1,0))</f>
        <v/>
      </c>
    </row>
    <row r="176">
      <c r="H176" s="7" t="n"/>
      <c r="I176" s="7" t="n"/>
      <c r="J176" s="7" t="n"/>
      <c r="K176" s="7" t="n"/>
      <c r="M176" s="8" t="n"/>
      <c r="P176" s="9" t="n"/>
      <c r="Q176" s="10" t="n"/>
      <c r="R176" s="10" t="n"/>
      <c r="S176" s="11" t="n"/>
      <c r="U176" s="12">
        <f>IF(OR(H176="",I176=""),"",ROUND(Settings!$B$4/ABS(H176-I176),2))</f>
        <v/>
      </c>
      <c r="V176" s="13">
        <f>IF(M176="","",ROUND(M176*Settings!$B$4,2))</f>
        <v/>
      </c>
      <c r="W176" s="12">
        <f>IF(M176="","",SUM($M$2:M176))</f>
        <v/>
      </c>
      <c r="X176" s="12">
        <f>IF(M176="","",MAX(0,N(X175),W176))</f>
        <v/>
      </c>
      <c r="Y176" s="12">
        <f>IF(M176="","",X176-W176)</f>
        <v/>
      </c>
      <c r="Z176" s="12">
        <f>IF(M176="","",IF(M176&lt;0,N(Z175)+1,0))</f>
        <v/>
      </c>
    </row>
    <row r="177">
      <c r="H177" s="7" t="n"/>
      <c r="I177" s="7" t="n"/>
      <c r="J177" s="7" t="n"/>
      <c r="K177" s="7" t="n"/>
      <c r="M177" s="8" t="n"/>
      <c r="P177" s="9" t="n"/>
      <c r="Q177" s="10" t="n"/>
      <c r="R177" s="10" t="n"/>
      <c r="S177" s="11" t="n"/>
      <c r="U177" s="12">
        <f>IF(OR(H177="",I177=""),"",ROUND(Settings!$B$4/ABS(H177-I177),2))</f>
        <v/>
      </c>
      <c r="V177" s="13">
        <f>IF(M177="","",ROUND(M177*Settings!$B$4,2))</f>
        <v/>
      </c>
      <c r="W177" s="12">
        <f>IF(M177="","",SUM($M$2:M177))</f>
        <v/>
      </c>
      <c r="X177" s="12">
        <f>IF(M177="","",MAX(0,N(X176),W177))</f>
        <v/>
      </c>
      <c r="Y177" s="12">
        <f>IF(M177="","",X177-W177)</f>
        <v/>
      </c>
      <c r="Z177" s="12">
        <f>IF(M177="","",IF(M177&lt;0,N(Z176)+1,0))</f>
        <v/>
      </c>
    </row>
    <row r="178">
      <c r="H178" s="7" t="n"/>
      <c r="I178" s="7" t="n"/>
      <c r="J178" s="7" t="n"/>
      <c r="K178" s="7" t="n"/>
      <c r="M178" s="8" t="n"/>
      <c r="P178" s="9" t="n"/>
      <c r="Q178" s="10" t="n"/>
      <c r="R178" s="10" t="n"/>
      <c r="S178" s="11" t="n"/>
      <c r="U178" s="12">
        <f>IF(OR(H178="",I178=""),"",ROUND(Settings!$B$4/ABS(H178-I178),2))</f>
        <v/>
      </c>
      <c r="V178" s="13">
        <f>IF(M178="","",ROUND(M178*Settings!$B$4,2))</f>
        <v/>
      </c>
      <c r="W178" s="12">
        <f>IF(M178="","",SUM($M$2:M178))</f>
        <v/>
      </c>
      <c r="X178" s="12">
        <f>IF(M178="","",MAX(0,N(X177),W178))</f>
        <v/>
      </c>
      <c r="Y178" s="12">
        <f>IF(M178="","",X178-W178)</f>
        <v/>
      </c>
      <c r="Z178" s="12">
        <f>IF(M178="","",IF(M178&lt;0,N(Z177)+1,0))</f>
        <v/>
      </c>
    </row>
    <row r="179">
      <c r="H179" s="7" t="n"/>
      <c r="I179" s="7" t="n"/>
      <c r="J179" s="7" t="n"/>
      <c r="K179" s="7" t="n"/>
      <c r="M179" s="8" t="n"/>
      <c r="P179" s="9" t="n"/>
      <c r="Q179" s="10" t="n"/>
      <c r="R179" s="10" t="n"/>
      <c r="S179" s="11" t="n"/>
      <c r="U179" s="12">
        <f>IF(OR(H179="",I179=""),"",ROUND(Settings!$B$4/ABS(H179-I179),2))</f>
        <v/>
      </c>
      <c r="V179" s="13">
        <f>IF(M179="","",ROUND(M179*Settings!$B$4,2))</f>
        <v/>
      </c>
      <c r="W179" s="12">
        <f>IF(M179="","",SUM($M$2:M179))</f>
        <v/>
      </c>
      <c r="X179" s="12">
        <f>IF(M179="","",MAX(0,N(X178),W179))</f>
        <v/>
      </c>
      <c r="Y179" s="12">
        <f>IF(M179="","",X179-W179)</f>
        <v/>
      </c>
      <c r="Z179" s="12">
        <f>IF(M179="","",IF(M179&lt;0,N(Z178)+1,0))</f>
        <v/>
      </c>
    </row>
    <row r="180">
      <c r="H180" s="7" t="n"/>
      <c r="I180" s="7" t="n"/>
      <c r="J180" s="7" t="n"/>
      <c r="K180" s="7" t="n"/>
      <c r="M180" s="8" t="n"/>
      <c r="P180" s="9" t="n"/>
      <c r="Q180" s="10" t="n"/>
      <c r="R180" s="10" t="n"/>
      <c r="S180" s="11" t="n"/>
      <c r="U180" s="12">
        <f>IF(OR(H180="",I180=""),"",ROUND(Settings!$B$4/ABS(H180-I180),2))</f>
        <v/>
      </c>
      <c r="V180" s="13">
        <f>IF(M180="","",ROUND(M180*Settings!$B$4,2))</f>
        <v/>
      </c>
      <c r="W180" s="12">
        <f>IF(M180="","",SUM($M$2:M180))</f>
        <v/>
      </c>
      <c r="X180" s="12">
        <f>IF(M180="","",MAX(0,N(X179),W180))</f>
        <v/>
      </c>
      <c r="Y180" s="12">
        <f>IF(M180="","",X180-W180)</f>
        <v/>
      </c>
      <c r="Z180" s="12">
        <f>IF(M180="","",IF(M180&lt;0,N(Z179)+1,0))</f>
        <v/>
      </c>
    </row>
    <row r="181">
      <c r="H181" s="7" t="n"/>
      <c r="I181" s="7" t="n"/>
      <c r="J181" s="7" t="n"/>
      <c r="K181" s="7" t="n"/>
      <c r="M181" s="8" t="n"/>
      <c r="P181" s="9" t="n"/>
      <c r="Q181" s="10" t="n"/>
      <c r="R181" s="10" t="n"/>
      <c r="S181" s="11" t="n"/>
      <c r="U181" s="12">
        <f>IF(OR(H181="",I181=""),"",ROUND(Settings!$B$4/ABS(H181-I181),2))</f>
        <v/>
      </c>
      <c r="V181" s="13">
        <f>IF(M181="","",ROUND(M181*Settings!$B$4,2))</f>
        <v/>
      </c>
      <c r="W181" s="12">
        <f>IF(M181="","",SUM($M$2:M181))</f>
        <v/>
      </c>
      <c r="X181" s="12">
        <f>IF(M181="","",MAX(0,N(X180),W181))</f>
        <v/>
      </c>
      <c r="Y181" s="12">
        <f>IF(M181="","",X181-W181)</f>
        <v/>
      </c>
      <c r="Z181" s="12">
        <f>IF(M181="","",IF(M181&lt;0,N(Z180)+1,0))</f>
        <v/>
      </c>
    </row>
    <row r="182">
      <c r="H182" s="7" t="n"/>
      <c r="I182" s="7" t="n"/>
      <c r="J182" s="7" t="n"/>
      <c r="K182" s="7" t="n"/>
      <c r="M182" s="8" t="n"/>
      <c r="P182" s="9" t="n"/>
      <c r="Q182" s="10" t="n"/>
      <c r="R182" s="10" t="n"/>
      <c r="S182" s="11" t="n"/>
      <c r="U182" s="12">
        <f>IF(OR(H182="",I182=""),"",ROUND(Settings!$B$4/ABS(H182-I182),2))</f>
        <v/>
      </c>
      <c r="V182" s="13">
        <f>IF(M182="","",ROUND(M182*Settings!$B$4,2))</f>
        <v/>
      </c>
      <c r="W182" s="12">
        <f>IF(M182="","",SUM($M$2:M182))</f>
        <v/>
      </c>
      <c r="X182" s="12">
        <f>IF(M182="","",MAX(0,N(X181),W182))</f>
        <v/>
      </c>
      <c r="Y182" s="12">
        <f>IF(M182="","",X182-W182)</f>
        <v/>
      </c>
      <c r="Z182" s="12">
        <f>IF(M182="","",IF(M182&lt;0,N(Z181)+1,0))</f>
        <v/>
      </c>
    </row>
    <row r="183">
      <c r="H183" s="7" t="n"/>
      <c r="I183" s="7" t="n"/>
      <c r="J183" s="7" t="n"/>
      <c r="K183" s="7" t="n"/>
      <c r="M183" s="8" t="n"/>
      <c r="P183" s="9" t="n"/>
      <c r="Q183" s="10" t="n"/>
      <c r="R183" s="10" t="n"/>
      <c r="S183" s="11" t="n"/>
      <c r="U183" s="12">
        <f>IF(OR(H183="",I183=""),"",ROUND(Settings!$B$4/ABS(H183-I183),2))</f>
        <v/>
      </c>
      <c r="V183" s="13">
        <f>IF(M183="","",ROUND(M183*Settings!$B$4,2))</f>
        <v/>
      </c>
      <c r="W183" s="12">
        <f>IF(M183="","",SUM($M$2:M183))</f>
        <v/>
      </c>
      <c r="X183" s="12">
        <f>IF(M183="","",MAX(0,N(X182),W183))</f>
        <v/>
      </c>
      <c r="Y183" s="12">
        <f>IF(M183="","",X183-W183)</f>
        <v/>
      </c>
      <c r="Z183" s="12">
        <f>IF(M183="","",IF(M183&lt;0,N(Z182)+1,0))</f>
        <v/>
      </c>
    </row>
    <row r="184">
      <c r="H184" s="7" t="n"/>
      <c r="I184" s="7" t="n"/>
      <c r="J184" s="7" t="n"/>
      <c r="K184" s="7" t="n"/>
      <c r="M184" s="8" t="n"/>
      <c r="P184" s="9" t="n"/>
      <c r="Q184" s="10" t="n"/>
      <c r="R184" s="10" t="n"/>
      <c r="S184" s="11" t="n"/>
      <c r="U184" s="12">
        <f>IF(OR(H184="",I184=""),"",ROUND(Settings!$B$4/ABS(H184-I184),2))</f>
        <v/>
      </c>
      <c r="V184" s="13">
        <f>IF(M184="","",ROUND(M184*Settings!$B$4,2))</f>
        <v/>
      </c>
      <c r="W184" s="12">
        <f>IF(M184="","",SUM($M$2:M184))</f>
        <v/>
      </c>
      <c r="X184" s="12">
        <f>IF(M184="","",MAX(0,N(X183),W184))</f>
        <v/>
      </c>
      <c r="Y184" s="12">
        <f>IF(M184="","",X184-W184)</f>
        <v/>
      </c>
      <c r="Z184" s="12">
        <f>IF(M184="","",IF(M184&lt;0,N(Z183)+1,0))</f>
        <v/>
      </c>
    </row>
    <row r="185">
      <c r="H185" s="7" t="n"/>
      <c r="I185" s="7" t="n"/>
      <c r="J185" s="7" t="n"/>
      <c r="K185" s="7" t="n"/>
      <c r="M185" s="8" t="n"/>
      <c r="P185" s="9" t="n"/>
      <c r="Q185" s="10" t="n"/>
      <c r="R185" s="10" t="n"/>
      <c r="S185" s="11" t="n"/>
      <c r="U185" s="12">
        <f>IF(OR(H185="",I185=""),"",ROUND(Settings!$B$4/ABS(H185-I185),2))</f>
        <v/>
      </c>
      <c r="V185" s="13">
        <f>IF(M185="","",ROUND(M185*Settings!$B$4,2))</f>
        <v/>
      </c>
      <c r="W185" s="12">
        <f>IF(M185="","",SUM($M$2:M185))</f>
        <v/>
      </c>
      <c r="X185" s="12">
        <f>IF(M185="","",MAX(0,N(X184),W185))</f>
        <v/>
      </c>
      <c r="Y185" s="12">
        <f>IF(M185="","",X185-W185)</f>
        <v/>
      </c>
      <c r="Z185" s="12">
        <f>IF(M185="","",IF(M185&lt;0,N(Z184)+1,0))</f>
        <v/>
      </c>
    </row>
    <row r="186">
      <c r="H186" s="7" t="n"/>
      <c r="I186" s="7" t="n"/>
      <c r="J186" s="7" t="n"/>
      <c r="K186" s="7" t="n"/>
      <c r="M186" s="8" t="n"/>
      <c r="P186" s="9" t="n"/>
      <c r="Q186" s="10" t="n"/>
      <c r="R186" s="10" t="n"/>
      <c r="S186" s="11" t="n"/>
      <c r="U186" s="12">
        <f>IF(OR(H186="",I186=""),"",ROUND(Settings!$B$4/ABS(H186-I186),2))</f>
        <v/>
      </c>
      <c r="V186" s="13">
        <f>IF(M186="","",ROUND(M186*Settings!$B$4,2))</f>
        <v/>
      </c>
      <c r="W186" s="12">
        <f>IF(M186="","",SUM($M$2:M186))</f>
        <v/>
      </c>
      <c r="X186" s="12">
        <f>IF(M186="","",MAX(0,N(X185),W186))</f>
        <v/>
      </c>
      <c r="Y186" s="12">
        <f>IF(M186="","",X186-W186)</f>
        <v/>
      </c>
      <c r="Z186" s="12">
        <f>IF(M186="","",IF(M186&lt;0,N(Z185)+1,0))</f>
        <v/>
      </c>
    </row>
    <row r="187">
      <c r="H187" s="7" t="n"/>
      <c r="I187" s="7" t="n"/>
      <c r="J187" s="7" t="n"/>
      <c r="K187" s="7" t="n"/>
      <c r="M187" s="8" t="n"/>
      <c r="P187" s="9" t="n"/>
      <c r="Q187" s="10" t="n"/>
      <c r="R187" s="10" t="n"/>
      <c r="S187" s="11" t="n"/>
      <c r="U187" s="12">
        <f>IF(OR(H187="",I187=""),"",ROUND(Settings!$B$4/ABS(H187-I187),2))</f>
        <v/>
      </c>
      <c r="V187" s="13">
        <f>IF(M187="","",ROUND(M187*Settings!$B$4,2))</f>
        <v/>
      </c>
      <c r="W187" s="12">
        <f>IF(M187="","",SUM($M$2:M187))</f>
        <v/>
      </c>
      <c r="X187" s="12">
        <f>IF(M187="","",MAX(0,N(X186),W187))</f>
        <v/>
      </c>
      <c r="Y187" s="12">
        <f>IF(M187="","",X187-W187)</f>
        <v/>
      </c>
      <c r="Z187" s="12">
        <f>IF(M187="","",IF(M187&lt;0,N(Z186)+1,0))</f>
        <v/>
      </c>
    </row>
    <row r="188">
      <c r="H188" s="7" t="n"/>
      <c r="I188" s="7" t="n"/>
      <c r="J188" s="7" t="n"/>
      <c r="K188" s="7" t="n"/>
      <c r="M188" s="8" t="n"/>
      <c r="P188" s="9" t="n"/>
      <c r="Q188" s="10" t="n"/>
      <c r="R188" s="10" t="n"/>
      <c r="S188" s="11" t="n"/>
      <c r="U188" s="12">
        <f>IF(OR(H188="",I188=""),"",ROUND(Settings!$B$4/ABS(H188-I188),2))</f>
        <v/>
      </c>
      <c r="V188" s="13">
        <f>IF(M188="","",ROUND(M188*Settings!$B$4,2))</f>
        <v/>
      </c>
      <c r="W188" s="12">
        <f>IF(M188="","",SUM($M$2:M188))</f>
        <v/>
      </c>
      <c r="X188" s="12">
        <f>IF(M188="","",MAX(0,N(X187),W188))</f>
        <v/>
      </c>
      <c r="Y188" s="12">
        <f>IF(M188="","",X188-W188)</f>
        <v/>
      </c>
      <c r="Z188" s="12">
        <f>IF(M188="","",IF(M188&lt;0,N(Z187)+1,0))</f>
        <v/>
      </c>
    </row>
    <row r="189">
      <c r="H189" s="7" t="n"/>
      <c r="I189" s="7" t="n"/>
      <c r="J189" s="7" t="n"/>
      <c r="K189" s="7" t="n"/>
      <c r="M189" s="8" t="n"/>
      <c r="P189" s="9" t="n"/>
      <c r="Q189" s="10" t="n"/>
      <c r="R189" s="10" t="n"/>
      <c r="S189" s="11" t="n"/>
      <c r="U189" s="12">
        <f>IF(OR(H189="",I189=""),"",ROUND(Settings!$B$4/ABS(H189-I189),2))</f>
        <v/>
      </c>
      <c r="V189" s="13">
        <f>IF(M189="","",ROUND(M189*Settings!$B$4,2))</f>
        <v/>
      </c>
      <c r="W189" s="12">
        <f>IF(M189="","",SUM($M$2:M189))</f>
        <v/>
      </c>
      <c r="X189" s="12">
        <f>IF(M189="","",MAX(0,N(X188),W189))</f>
        <v/>
      </c>
      <c r="Y189" s="12">
        <f>IF(M189="","",X189-W189)</f>
        <v/>
      </c>
      <c r="Z189" s="12">
        <f>IF(M189="","",IF(M189&lt;0,N(Z188)+1,0))</f>
        <v/>
      </c>
    </row>
    <row r="190">
      <c r="H190" s="7" t="n"/>
      <c r="I190" s="7" t="n"/>
      <c r="J190" s="7" t="n"/>
      <c r="K190" s="7" t="n"/>
      <c r="M190" s="8" t="n"/>
      <c r="P190" s="9" t="n"/>
      <c r="Q190" s="10" t="n"/>
      <c r="R190" s="10" t="n"/>
      <c r="S190" s="11" t="n"/>
      <c r="U190" s="12">
        <f>IF(OR(H190="",I190=""),"",ROUND(Settings!$B$4/ABS(H190-I190),2))</f>
        <v/>
      </c>
      <c r="V190" s="13">
        <f>IF(M190="","",ROUND(M190*Settings!$B$4,2))</f>
        <v/>
      </c>
      <c r="W190" s="12">
        <f>IF(M190="","",SUM($M$2:M190))</f>
        <v/>
      </c>
      <c r="X190" s="12">
        <f>IF(M190="","",MAX(0,N(X189),W190))</f>
        <v/>
      </c>
      <c r="Y190" s="12">
        <f>IF(M190="","",X190-W190)</f>
        <v/>
      </c>
      <c r="Z190" s="12">
        <f>IF(M190="","",IF(M190&lt;0,N(Z189)+1,0))</f>
        <v/>
      </c>
    </row>
    <row r="191">
      <c r="H191" s="7" t="n"/>
      <c r="I191" s="7" t="n"/>
      <c r="J191" s="7" t="n"/>
      <c r="K191" s="7" t="n"/>
      <c r="M191" s="8" t="n"/>
      <c r="P191" s="9" t="n"/>
      <c r="Q191" s="10" t="n"/>
      <c r="R191" s="10" t="n"/>
      <c r="S191" s="11" t="n"/>
      <c r="U191" s="12">
        <f>IF(OR(H191="",I191=""),"",ROUND(Settings!$B$4/ABS(H191-I191),2))</f>
        <v/>
      </c>
      <c r="V191" s="13">
        <f>IF(M191="","",ROUND(M191*Settings!$B$4,2))</f>
        <v/>
      </c>
      <c r="W191" s="12">
        <f>IF(M191="","",SUM($M$2:M191))</f>
        <v/>
      </c>
      <c r="X191" s="12">
        <f>IF(M191="","",MAX(0,N(X190),W191))</f>
        <v/>
      </c>
      <c r="Y191" s="12">
        <f>IF(M191="","",X191-W191)</f>
        <v/>
      </c>
      <c r="Z191" s="12">
        <f>IF(M191="","",IF(M191&lt;0,N(Z190)+1,0))</f>
        <v/>
      </c>
    </row>
    <row r="192">
      <c r="H192" s="7" t="n"/>
      <c r="I192" s="7" t="n"/>
      <c r="J192" s="7" t="n"/>
      <c r="K192" s="7" t="n"/>
      <c r="M192" s="8" t="n"/>
      <c r="P192" s="9" t="n"/>
      <c r="Q192" s="10" t="n"/>
      <c r="R192" s="10" t="n"/>
      <c r="S192" s="11" t="n"/>
      <c r="U192" s="12">
        <f>IF(OR(H192="",I192=""),"",ROUND(Settings!$B$4/ABS(H192-I192),2))</f>
        <v/>
      </c>
      <c r="V192" s="13">
        <f>IF(M192="","",ROUND(M192*Settings!$B$4,2))</f>
        <v/>
      </c>
      <c r="W192" s="12">
        <f>IF(M192="","",SUM($M$2:M192))</f>
        <v/>
      </c>
      <c r="X192" s="12">
        <f>IF(M192="","",MAX(0,N(X191),W192))</f>
        <v/>
      </c>
      <c r="Y192" s="12">
        <f>IF(M192="","",X192-W192)</f>
        <v/>
      </c>
      <c r="Z192" s="12">
        <f>IF(M192="","",IF(M192&lt;0,N(Z191)+1,0))</f>
        <v/>
      </c>
    </row>
    <row r="193">
      <c r="H193" s="7" t="n"/>
      <c r="I193" s="7" t="n"/>
      <c r="J193" s="7" t="n"/>
      <c r="K193" s="7" t="n"/>
      <c r="M193" s="8" t="n"/>
      <c r="P193" s="9" t="n"/>
      <c r="Q193" s="10" t="n"/>
      <c r="R193" s="10" t="n"/>
      <c r="S193" s="11" t="n"/>
      <c r="U193" s="12">
        <f>IF(OR(H193="",I193=""),"",ROUND(Settings!$B$4/ABS(H193-I193),2))</f>
        <v/>
      </c>
      <c r="V193" s="13">
        <f>IF(M193="","",ROUND(M193*Settings!$B$4,2))</f>
        <v/>
      </c>
      <c r="W193" s="12">
        <f>IF(M193="","",SUM($M$2:M193))</f>
        <v/>
      </c>
      <c r="X193" s="12">
        <f>IF(M193="","",MAX(0,N(X192),W193))</f>
        <v/>
      </c>
      <c r="Y193" s="12">
        <f>IF(M193="","",X193-W193)</f>
        <v/>
      </c>
      <c r="Z193" s="12">
        <f>IF(M193="","",IF(M193&lt;0,N(Z192)+1,0))</f>
        <v/>
      </c>
    </row>
    <row r="194">
      <c r="H194" s="7" t="n"/>
      <c r="I194" s="7" t="n"/>
      <c r="J194" s="7" t="n"/>
      <c r="K194" s="7" t="n"/>
      <c r="M194" s="8" t="n"/>
      <c r="P194" s="9" t="n"/>
      <c r="Q194" s="10" t="n"/>
      <c r="R194" s="10" t="n"/>
      <c r="S194" s="11" t="n"/>
      <c r="U194" s="12">
        <f>IF(OR(H194="",I194=""),"",ROUND(Settings!$B$4/ABS(H194-I194),2))</f>
        <v/>
      </c>
      <c r="V194" s="13">
        <f>IF(M194="","",ROUND(M194*Settings!$B$4,2))</f>
        <v/>
      </c>
      <c r="W194" s="12">
        <f>IF(M194="","",SUM($M$2:M194))</f>
        <v/>
      </c>
      <c r="X194" s="12">
        <f>IF(M194="","",MAX(0,N(X193),W194))</f>
        <v/>
      </c>
      <c r="Y194" s="12">
        <f>IF(M194="","",X194-W194)</f>
        <v/>
      </c>
      <c r="Z194" s="12">
        <f>IF(M194="","",IF(M194&lt;0,N(Z193)+1,0))</f>
        <v/>
      </c>
    </row>
    <row r="195">
      <c r="H195" s="7" t="n"/>
      <c r="I195" s="7" t="n"/>
      <c r="J195" s="7" t="n"/>
      <c r="K195" s="7" t="n"/>
      <c r="M195" s="8" t="n"/>
      <c r="P195" s="9" t="n"/>
      <c r="Q195" s="10" t="n"/>
      <c r="R195" s="10" t="n"/>
      <c r="S195" s="11" t="n"/>
      <c r="U195" s="12">
        <f>IF(OR(H195="",I195=""),"",ROUND(Settings!$B$4/ABS(H195-I195),2))</f>
        <v/>
      </c>
      <c r="V195" s="13">
        <f>IF(M195="","",ROUND(M195*Settings!$B$4,2))</f>
        <v/>
      </c>
      <c r="W195" s="12">
        <f>IF(M195="","",SUM($M$2:M195))</f>
        <v/>
      </c>
      <c r="X195" s="12">
        <f>IF(M195="","",MAX(0,N(X194),W195))</f>
        <v/>
      </c>
      <c r="Y195" s="12">
        <f>IF(M195="","",X195-W195)</f>
        <v/>
      </c>
      <c r="Z195" s="12">
        <f>IF(M195="","",IF(M195&lt;0,N(Z194)+1,0))</f>
        <v/>
      </c>
    </row>
    <row r="196">
      <c r="H196" s="7" t="n"/>
      <c r="I196" s="7" t="n"/>
      <c r="J196" s="7" t="n"/>
      <c r="K196" s="7" t="n"/>
      <c r="M196" s="8" t="n"/>
      <c r="P196" s="9" t="n"/>
      <c r="Q196" s="10" t="n"/>
      <c r="R196" s="10" t="n"/>
      <c r="S196" s="11" t="n"/>
      <c r="U196" s="12">
        <f>IF(OR(H196="",I196=""),"",ROUND(Settings!$B$4/ABS(H196-I196),2))</f>
        <v/>
      </c>
      <c r="V196" s="13">
        <f>IF(M196="","",ROUND(M196*Settings!$B$4,2))</f>
        <v/>
      </c>
      <c r="W196" s="12">
        <f>IF(M196="","",SUM($M$2:M196))</f>
        <v/>
      </c>
      <c r="X196" s="12">
        <f>IF(M196="","",MAX(0,N(X195),W196))</f>
        <v/>
      </c>
      <c r="Y196" s="12">
        <f>IF(M196="","",X196-W196)</f>
        <v/>
      </c>
      <c r="Z196" s="12">
        <f>IF(M196="","",IF(M196&lt;0,N(Z195)+1,0))</f>
        <v/>
      </c>
    </row>
    <row r="197">
      <c r="H197" s="7" t="n"/>
      <c r="I197" s="7" t="n"/>
      <c r="J197" s="7" t="n"/>
      <c r="K197" s="7" t="n"/>
      <c r="M197" s="8" t="n"/>
      <c r="P197" s="9" t="n"/>
      <c r="Q197" s="10" t="n"/>
      <c r="R197" s="10" t="n"/>
      <c r="S197" s="11" t="n"/>
      <c r="U197" s="12">
        <f>IF(OR(H197="",I197=""),"",ROUND(Settings!$B$4/ABS(H197-I197),2))</f>
        <v/>
      </c>
      <c r="V197" s="13">
        <f>IF(M197="","",ROUND(M197*Settings!$B$4,2))</f>
        <v/>
      </c>
      <c r="W197" s="12">
        <f>IF(M197="","",SUM($M$2:M197))</f>
        <v/>
      </c>
      <c r="X197" s="12">
        <f>IF(M197="","",MAX(0,N(X196),W197))</f>
        <v/>
      </c>
      <c r="Y197" s="12">
        <f>IF(M197="","",X197-W197)</f>
        <v/>
      </c>
      <c r="Z197" s="12">
        <f>IF(M197="","",IF(M197&lt;0,N(Z196)+1,0))</f>
        <v/>
      </c>
    </row>
    <row r="198">
      <c r="H198" s="7" t="n"/>
      <c r="I198" s="7" t="n"/>
      <c r="J198" s="7" t="n"/>
      <c r="K198" s="7" t="n"/>
      <c r="M198" s="8" t="n"/>
      <c r="P198" s="9" t="n"/>
      <c r="Q198" s="10" t="n"/>
      <c r="R198" s="10" t="n"/>
      <c r="S198" s="11" t="n"/>
      <c r="U198" s="12">
        <f>IF(OR(H198="",I198=""),"",ROUND(Settings!$B$4/ABS(H198-I198),2))</f>
        <v/>
      </c>
      <c r="V198" s="13">
        <f>IF(M198="","",ROUND(M198*Settings!$B$4,2))</f>
        <v/>
      </c>
      <c r="W198" s="12">
        <f>IF(M198="","",SUM($M$2:M198))</f>
        <v/>
      </c>
      <c r="X198" s="12">
        <f>IF(M198="","",MAX(0,N(X197),W198))</f>
        <v/>
      </c>
      <c r="Y198" s="12">
        <f>IF(M198="","",X198-W198)</f>
        <v/>
      </c>
      <c r="Z198" s="12">
        <f>IF(M198="","",IF(M198&lt;0,N(Z197)+1,0))</f>
        <v/>
      </c>
    </row>
    <row r="199">
      <c r="H199" s="7" t="n"/>
      <c r="I199" s="7" t="n"/>
      <c r="J199" s="7" t="n"/>
      <c r="K199" s="7" t="n"/>
      <c r="M199" s="8" t="n"/>
      <c r="P199" s="9" t="n"/>
      <c r="Q199" s="10" t="n"/>
      <c r="R199" s="10" t="n"/>
      <c r="S199" s="11" t="n"/>
      <c r="U199" s="12">
        <f>IF(OR(H199="",I199=""),"",ROUND(Settings!$B$4/ABS(H199-I199),2))</f>
        <v/>
      </c>
      <c r="V199" s="13">
        <f>IF(M199="","",ROUND(M199*Settings!$B$4,2))</f>
        <v/>
      </c>
      <c r="W199" s="12">
        <f>IF(M199="","",SUM($M$2:M199))</f>
        <v/>
      </c>
      <c r="X199" s="12">
        <f>IF(M199="","",MAX(0,N(X198),W199))</f>
        <v/>
      </c>
      <c r="Y199" s="12">
        <f>IF(M199="","",X199-W199)</f>
        <v/>
      </c>
      <c r="Z199" s="12">
        <f>IF(M199="","",IF(M199&lt;0,N(Z198)+1,0))</f>
        <v/>
      </c>
    </row>
    <row r="200">
      <c r="H200" s="7" t="n"/>
      <c r="I200" s="7" t="n"/>
      <c r="J200" s="7" t="n"/>
      <c r="K200" s="7" t="n"/>
      <c r="M200" s="8" t="n"/>
      <c r="P200" s="9" t="n"/>
      <c r="Q200" s="10" t="n"/>
      <c r="R200" s="10" t="n"/>
      <c r="S200" s="11" t="n"/>
      <c r="U200" s="12">
        <f>IF(OR(H200="",I200=""),"",ROUND(Settings!$B$4/ABS(H200-I200),2))</f>
        <v/>
      </c>
      <c r="V200" s="13">
        <f>IF(M200="","",ROUND(M200*Settings!$B$4,2))</f>
        <v/>
      </c>
      <c r="W200" s="12">
        <f>IF(M200="","",SUM($M$2:M200))</f>
        <v/>
      </c>
      <c r="X200" s="12">
        <f>IF(M200="","",MAX(0,N(X199),W200))</f>
        <v/>
      </c>
      <c r="Y200" s="12">
        <f>IF(M200="","",X200-W200)</f>
        <v/>
      </c>
      <c r="Z200" s="12">
        <f>IF(M200="","",IF(M200&lt;0,N(Z199)+1,0))</f>
        <v/>
      </c>
    </row>
    <row r="201">
      <c r="H201" s="7" t="n"/>
      <c r="I201" s="7" t="n"/>
      <c r="J201" s="7" t="n"/>
      <c r="K201" s="7" t="n"/>
      <c r="M201" s="8" t="n"/>
      <c r="P201" s="9" t="n"/>
      <c r="Q201" s="10" t="n"/>
      <c r="R201" s="10" t="n"/>
      <c r="S201" s="11" t="n"/>
      <c r="U201" s="12">
        <f>IF(OR(H201="",I201=""),"",ROUND(Settings!$B$4/ABS(H201-I201),2))</f>
        <v/>
      </c>
      <c r="V201" s="13">
        <f>IF(M201="","",ROUND(M201*Settings!$B$4,2))</f>
        <v/>
      </c>
      <c r="W201" s="12">
        <f>IF(M201="","",SUM($M$2:M201))</f>
        <v/>
      </c>
      <c r="X201" s="12">
        <f>IF(M201="","",MAX(0,N(X200),W201))</f>
        <v/>
      </c>
      <c r="Y201" s="12">
        <f>IF(M201="","",X201-W201)</f>
        <v/>
      </c>
      <c r="Z201" s="12">
        <f>IF(M201="","",IF(M201&lt;0,N(Z200)+1,0))</f>
        <v/>
      </c>
    </row>
    <row r="202">
      <c r="H202" s="7" t="n"/>
      <c r="I202" s="7" t="n"/>
      <c r="J202" s="7" t="n"/>
      <c r="K202" s="7" t="n"/>
      <c r="M202" s="8" t="n"/>
      <c r="P202" s="9" t="n"/>
      <c r="Q202" s="10" t="n"/>
      <c r="R202" s="10" t="n"/>
      <c r="S202" s="11" t="n"/>
      <c r="U202" s="12">
        <f>IF(OR(H202="",I202=""),"",ROUND(Settings!$B$4/ABS(H202-I202),2))</f>
        <v/>
      </c>
      <c r="V202" s="13">
        <f>IF(M202="","",ROUND(M202*Settings!$B$4,2))</f>
        <v/>
      </c>
      <c r="W202" s="12">
        <f>IF(M202="","",SUM($M$2:M202))</f>
        <v/>
      </c>
      <c r="X202" s="12">
        <f>IF(M202="","",MAX(0,N(X201),W202))</f>
        <v/>
      </c>
      <c r="Y202" s="12">
        <f>IF(M202="","",X202-W202)</f>
        <v/>
      </c>
      <c r="Z202" s="12">
        <f>IF(M202="","",IF(M202&lt;0,N(Z201)+1,0))</f>
        <v/>
      </c>
    </row>
    <row r="203">
      <c r="H203" s="7" t="n"/>
      <c r="I203" s="7" t="n"/>
      <c r="J203" s="7" t="n"/>
      <c r="K203" s="7" t="n"/>
      <c r="M203" s="8" t="n"/>
      <c r="P203" s="9" t="n"/>
      <c r="Q203" s="10" t="n"/>
      <c r="R203" s="10" t="n"/>
      <c r="S203" s="11" t="n"/>
      <c r="U203" s="12">
        <f>IF(OR(H203="",I203=""),"",ROUND(Settings!$B$4/ABS(H203-I203),2))</f>
        <v/>
      </c>
      <c r="V203" s="13">
        <f>IF(M203="","",ROUND(M203*Settings!$B$4,2))</f>
        <v/>
      </c>
      <c r="W203" s="12">
        <f>IF(M203="","",SUM($M$2:M203))</f>
        <v/>
      </c>
      <c r="X203" s="12">
        <f>IF(M203="","",MAX(0,N(X202),W203))</f>
        <v/>
      </c>
      <c r="Y203" s="12">
        <f>IF(M203="","",X203-W203)</f>
        <v/>
      </c>
      <c r="Z203" s="12">
        <f>IF(M203="","",IF(M203&lt;0,N(Z202)+1,0))</f>
        <v/>
      </c>
    </row>
    <row r="204">
      <c r="H204" s="7" t="n"/>
      <c r="I204" s="7" t="n"/>
      <c r="J204" s="7" t="n"/>
      <c r="K204" s="7" t="n"/>
      <c r="M204" s="8" t="n"/>
      <c r="P204" s="9" t="n"/>
      <c r="Q204" s="10" t="n"/>
      <c r="R204" s="10" t="n"/>
      <c r="S204" s="11" t="n"/>
      <c r="U204" s="12">
        <f>IF(OR(H204="",I204=""),"",ROUND(Settings!$B$4/ABS(H204-I204),2))</f>
        <v/>
      </c>
      <c r="V204" s="13">
        <f>IF(M204="","",ROUND(M204*Settings!$B$4,2))</f>
        <v/>
      </c>
      <c r="W204" s="12">
        <f>IF(M204="","",SUM($M$2:M204))</f>
        <v/>
      </c>
      <c r="X204" s="12">
        <f>IF(M204="","",MAX(0,N(X203),W204))</f>
        <v/>
      </c>
      <c r="Y204" s="12">
        <f>IF(M204="","",X204-W204)</f>
        <v/>
      </c>
      <c r="Z204" s="12">
        <f>IF(M204="","",IF(M204&lt;0,N(Z203)+1,0))</f>
        <v/>
      </c>
    </row>
    <row r="205">
      <c r="H205" s="7" t="n"/>
      <c r="I205" s="7" t="n"/>
      <c r="J205" s="7" t="n"/>
      <c r="K205" s="7" t="n"/>
      <c r="M205" s="8" t="n"/>
      <c r="P205" s="9" t="n"/>
      <c r="Q205" s="10" t="n"/>
      <c r="R205" s="10" t="n"/>
      <c r="S205" s="11" t="n"/>
      <c r="U205" s="12">
        <f>IF(OR(H205="",I205=""),"",ROUND(Settings!$B$4/ABS(H205-I205),2))</f>
        <v/>
      </c>
      <c r="V205" s="13">
        <f>IF(M205="","",ROUND(M205*Settings!$B$4,2))</f>
        <v/>
      </c>
      <c r="W205" s="12">
        <f>IF(M205="","",SUM($M$2:M205))</f>
        <v/>
      </c>
      <c r="X205" s="12">
        <f>IF(M205="","",MAX(0,N(X204),W205))</f>
        <v/>
      </c>
      <c r="Y205" s="12">
        <f>IF(M205="","",X205-W205)</f>
        <v/>
      </c>
      <c r="Z205" s="12">
        <f>IF(M205="","",IF(M205&lt;0,N(Z204)+1,0))</f>
        <v/>
      </c>
    </row>
    <row r="206">
      <c r="H206" s="7" t="n"/>
      <c r="I206" s="7" t="n"/>
      <c r="J206" s="7" t="n"/>
      <c r="K206" s="7" t="n"/>
      <c r="M206" s="8" t="n"/>
      <c r="P206" s="9" t="n"/>
      <c r="Q206" s="10" t="n"/>
      <c r="R206" s="10" t="n"/>
      <c r="S206" s="11" t="n"/>
      <c r="U206" s="12">
        <f>IF(OR(H206="",I206=""),"",ROUND(Settings!$B$4/ABS(H206-I206),2))</f>
        <v/>
      </c>
      <c r="V206" s="13">
        <f>IF(M206="","",ROUND(M206*Settings!$B$4,2))</f>
        <v/>
      </c>
      <c r="W206" s="12">
        <f>IF(M206="","",SUM($M$2:M206))</f>
        <v/>
      </c>
      <c r="X206" s="12">
        <f>IF(M206="","",MAX(0,N(X205),W206))</f>
        <v/>
      </c>
      <c r="Y206" s="12">
        <f>IF(M206="","",X206-W206)</f>
        <v/>
      </c>
      <c r="Z206" s="12">
        <f>IF(M206="","",IF(M206&lt;0,N(Z205)+1,0))</f>
        <v/>
      </c>
    </row>
    <row r="207">
      <c r="H207" s="7" t="n"/>
      <c r="I207" s="7" t="n"/>
      <c r="J207" s="7" t="n"/>
      <c r="K207" s="7" t="n"/>
      <c r="M207" s="8" t="n"/>
      <c r="P207" s="9" t="n"/>
      <c r="Q207" s="10" t="n"/>
      <c r="R207" s="10" t="n"/>
      <c r="S207" s="11" t="n"/>
      <c r="U207" s="12">
        <f>IF(OR(H207="",I207=""),"",ROUND(Settings!$B$4/ABS(H207-I207),2))</f>
        <v/>
      </c>
      <c r="V207" s="13">
        <f>IF(M207="","",ROUND(M207*Settings!$B$4,2))</f>
        <v/>
      </c>
      <c r="W207" s="12">
        <f>IF(M207="","",SUM($M$2:M207))</f>
        <v/>
      </c>
      <c r="X207" s="12">
        <f>IF(M207="","",MAX(0,N(X206),W207))</f>
        <v/>
      </c>
      <c r="Y207" s="12">
        <f>IF(M207="","",X207-W207)</f>
        <v/>
      </c>
      <c r="Z207" s="12">
        <f>IF(M207="","",IF(M207&lt;0,N(Z206)+1,0))</f>
        <v/>
      </c>
    </row>
    <row r="208">
      <c r="H208" s="7" t="n"/>
      <c r="I208" s="7" t="n"/>
      <c r="J208" s="7" t="n"/>
      <c r="K208" s="7" t="n"/>
      <c r="M208" s="8" t="n"/>
      <c r="P208" s="9" t="n"/>
      <c r="Q208" s="10" t="n"/>
      <c r="R208" s="10" t="n"/>
      <c r="S208" s="11" t="n"/>
      <c r="U208" s="12">
        <f>IF(OR(H208="",I208=""),"",ROUND(Settings!$B$4/ABS(H208-I208),2))</f>
        <v/>
      </c>
      <c r="V208" s="13">
        <f>IF(M208="","",ROUND(M208*Settings!$B$4,2))</f>
        <v/>
      </c>
      <c r="W208" s="12">
        <f>IF(M208="","",SUM($M$2:M208))</f>
        <v/>
      </c>
      <c r="X208" s="12">
        <f>IF(M208="","",MAX(0,N(X207),W208))</f>
        <v/>
      </c>
      <c r="Y208" s="12">
        <f>IF(M208="","",X208-W208)</f>
        <v/>
      </c>
      <c r="Z208" s="12">
        <f>IF(M208="","",IF(M208&lt;0,N(Z207)+1,0))</f>
        <v/>
      </c>
    </row>
    <row r="209">
      <c r="H209" s="7" t="n"/>
      <c r="I209" s="7" t="n"/>
      <c r="J209" s="7" t="n"/>
      <c r="K209" s="7" t="n"/>
      <c r="M209" s="8" t="n"/>
      <c r="P209" s="9" t="n"/>
      <c r="Q209" s="10" t="n"/>
      <c r="R209" s="10" t="n"/>
      <c r="S209" s="11" t="n"/>
      <c r="U209" s="12">
        <f>IF(OR(H209="",I209=""),"",ROUND(Settings!$B$4/ABS(H209-I209),2))</f>
        <v/>
      </c>
      <c r="V209" s="13">
        <f>IF(M209="","",ROUND(M209*Settings!$B$4,2))</f>
        <v/>
      </c>
      <c r="W209" s="12">
        <f>IF(M209="","",SUM($M$2:M209))</f>
        <v/>
      </c>
      <c r="X209" s="12">
        <f>IF(M209="","",MAX(0,N(X208),W209))</f>
        <v/>
      </c>
      <c r="Y209" s="12">
        <f>IF(M209="","",X209-W209)</f>
        <v/>
      </c>
      <c r="Z209" s="12">
        <f>IF(M209="","",IF(M209&lt;0,N(Z208)+1,0))</f>
        <v/>
      </c>
    </row>
    <row r="210">
      <c r="H210" s="7" t="n"/>
      <c r="I210" s="7" t="n"/>
      <c r="J210" s="7" t="n"/>
      <c r="K210" s="7" t="n"/>
      <c r="M210" s="8" t="n"/>
      <c r="P210" s="9" t="n"/>
      <c r="Q210" s="10" t="n"/>
      <c r="R210" s="10" t="n"/>
      <c r="S210" s="11" t="n"/>
      <c r="U210" s="12">
        <f>IF(OR(H210="",I210=""),"",ROUND(Settings!$B$4/ABS(H210-I210),2))</f>
        <v/>
      </c>
      <c r="V210" s="13">
        <f>IF(M210="","",ROUND(M210*Settings!$B$4,2))</f>
        <v/>
      </c>
      <c r="W210" s="12">
        <f>IF(M210="","",SUM($M$2:M210))</f>
        <v/>
      </c>
      <c r="X210" s="12">
        <f>IF(M210="","",MAX(0,N(X209),W210))</f>
        <v/>
      </c>
      <c r="Y210" s="12">
        <f>IF(M210="","",X210-W210)</f>
        <v/>
      </c>
      <c r="Z210" s="12">
        <f>IF(M210="","",IF(M210&lt;0,N(Z209)+1,0))</f>
        <v/>
      </c>
    </row>
    <row r="211">
      <c r="H211" s="7" t="n"/>
      <c r="I211" s="7" t="n"/>
      <c r="J211" s="7" t="n"/>
      <c r="K211" s="7" t="n"/>
      <c r="M211" s="8" t="n"/>
      <c r="P211" s="9" t="n"/>
      <c r="Q211" s="10" t="n"/>
      <c r="R211" s="10" t="n"/>
      <c r="S211" s="11" t="n"/>
      <c r="U211" s="12">
        <f>IF(OR(H211="",I211=""),"",ROUND(Settings!$B$4/ABS(H211-I211),2))</f>
        <v/>
      </c>
      <c r="V211" s="13">
        <f>IF(M211="","",ROUND(M211*Settings!$B$4,2))</f>
        <v/>
      </c>
      <c r="W211" s="12">
        <f>IF(M211="","",SUM($M$2:M211))</f>
        <v/>
      </c>
      <c r="X211" s="12">
        <f>IF(M211="","",MAX(0,N(X210),W211))</f>
        <v/>
      </c>
      <c r="Y211" s="12">
        <f>IF(M211="","",X211-W211)</f>
        <v/>
      </c>
      <c r="Z211" s="12">
        <f>IF(M211="","",IF(M211&lt;0,N(Z210)+1,0))</f>
        <v/>
      </c>
    </row>
    <row r="212">
      <c r="H212" s="7" t="n"/>
      <c r="I212" s="7" t="n"/>
      <c r="J212" s="7" t="n"/>
      <c r="K212" s="7" t="n"/>
      <c r="M212" s="8" t="n"/>
      <c r="P212" s="9" t="n"/>
      <c r="Q212" s="10" t="n"/>
      <c r="R212" s="10" t="n"/>
      <c r="S212" s="11" t="n"/>
      <c r="U212" s="12">
        <f>IF(OR(H212="",I212=""),"",ROUND(Settings!$B$4/ABS(H212-I212),2))</f>
        <v/>
      </c>
      <c r="V212" s="13">
        <f>IF(M212="","",ROUND(M212*Settings!$B$4,2))</f>
        <v/>
      </c>
      <c r="W212" s="12">
        <f>IF(M212="","",SUM($M$2:M212))</f>
        <v/>
      </c>
      <c r="X212" s="12">
        <f>IF(M212="","",MAX(0,N(X211),W212))</f>
        <v/>
      </c>
      <c r="Y212" s="12">
        <f>IF(M212="","",X212-W212)</f>
        <v/>
      </c>
      <c r="Z212" s="12">
        <f>IF(M212="","",IF(M212&lt;0,N(Z211)+1,0))</f>
        <v/>
      </c>
    </row>
    <row r="213">
      <c r="H213" s="7" t="n"/>
      <c r="I213" s="7" t="n"/>
      <c r="J213" s="7" t="n"/>
      <c r="K213" s="7" t="n"/>
      <c r="M213" s="8" t="n"/>
      <c r="P213" s="9" t="n"/>
      <c r="Q213" s="10" t="n"/>
      <c r="R213" s="10" t="n"/>
      <c r="S213" s="11" t="n"/>
      <c r="U213" s="12">
        <f>IF(OR(H213="",I213=""),"",ROUND(Settings!$B$4/ABS(H213-I213),2))</f>
        <v/>
      </c>
      <c r="V213" s="13">
        <f>IF(M213="","",ROUND(M213*Settings!$B$4,2))</f>
        <v/>
      </c>
      <c r="W213" s="12">
        <f>IF(M213="","",SUM($M$2:M213))</f>
        <v/>
      </c>
      <c r="X213" s="12">
        <f>IF(M213="","",MAX(0,N(X212),W213))</f>
        <v/>
      </c>
      <c r="Y213" s="12">
        <f>IF(M213="","",X213-W213)</f>
        <v/>
      </c>
      <c r="Z213" s="12">
        <f>IF(M213="","",IF(M213&lt;0,N(Z212)+1,0))</f>
        <v/>
      </c>
    </row>
    <row r="214">
      <c r="H214" s="7" t="n"/>
      <c r="I214" s="7" t="n"/>
      <c r="J214" s="7" t="n"/>
      <c r="K214" s="7" t="n"/>
      <c r="M214" s="8" t="n"/>
      <c r="P214" s="9" t="n"/>
      <c r="Q214" s="10" t="n"/>
      <c r="R214" s="10" t="n"/>
      <c r="S214" s="11" t="n"/>
      <c r="U214" s="12">
        <f>IF(OR(H214="",I214=""),"",ROUND(Settings!$B$4/ABS(H214-I214),2))</f>
        <v/>
      </c>
      <c r="V214" s="13">
        <f>IF(M214="","",ROUND(M214*Settings!$B$4,2))</f>
        <v/>
      </c>
      <c r="W214" s="12">
        <f>IF(M214="","",SUM($M$2:M214))</f>
        <v/>
      </c>
      <c r="X214" s="12">
        <f>IF(M214="","",MAX(0,N(X213),W214))</f>
        <v/>
      </c>
      <c r="Y214" s="12">
        <f>IF(M214="","",X214-W214)</f>
        <v/>
      </c>
      <c r="Z214" s="12">
        <f>IF(M214="","",IF(M214&lt;0,N(Z213)+1,0))</f>
        <v/>
      </c>
    </row>
    <row r="215">
      <c r="H215" s="7" t="n"/>
      <c r="I215" s="7" t="n"/>
      <c r="J215" s="7" t="n"/>
      <c r="K215" s="7" t="n"/>
      <c r="M215" s="8" t="n"/>
      <c r="P215" s="9" t="n"/>
      <c r="Q215" s="10" t="n"/>
      <c r="R215" s="10" t="n"/>
      <c r="S215" s="11" t="n"/>
      <c r="U215" s="12">
        <f>IF(OR(H215="",I215=""),"",ROUND(Settings!$B$4/ABS(H215-I215),2))</f>
        <v/>
      </c>
      <c r="V215" s="13">
        <f>IF(M215="","",ROUND(M215*Settings!$B$4,2))</f>
        <v/>
      </c>
      <c r="W215" s="12">
        <f>IF(M215="","",SUM($M$2:M215))</f>
        <v/>
      </c>
      <c r="X215" s="12">
        <f>IF(M215="","",MAX(0,N(X214),W215))</f>
        <v/>
      </c>
      <c r="Y215" s="12">
        <f>IF(M215="","",X215-W215)</f>
        <v/>
      </c>
      <c r="Z215" s="12">
        <f>IF(M215="","",IF(M215&lt;0,N(Z214)+1,0))</f>
        <v/>
      </c>
    </row>
    <row r="216">
      <c r="H216" s="7" t="n"/>
      <c r="I216" s="7" t="n"/>
      <c r="J216" s="7" t="n"/>
      <c r="K216" s="7" t="n"/>
      <c r="M216" s="8" t="n"/>
      <c r="P216" s="9" t="n"/>
      <c r="Q216" s="10" t="n"/>
      <c r="R216" s="10" t="n"/>
      <c r="S216" s="11" t="n"/>
      <c r="U216" s="12">
        <f>IF(OR(H216="",I216=""),"",ROUND(Settings!$B$4/ABS(H216-I216),2))</f>
        <v/>
      </c>
      <c r="V216" s="13">
        <f>IF(M216="","",ROUND(M216*Settings!$B$4,2))</f>
        <v/>
      </c>
      <c r="W216" s="12">
        <f>IF(M216="","",SUM($M$2:M216))</f>
        <v/>
      </c>
      <c r="X216" s="12">
        <f>IF(M216="","",MAX(0,N(X215),W216))</f>
        <v/>
      </c>
      <c r="Y216" s="12">
        <f>IF(M216="","",X216-W216)</f>
        <v/>
      </c>
      <c r="Z216" s="12">
        <f>IF(M216="","",IF(M216&lt;0,N(Z215)+1,0))</f>
        <v/>
      </c>
    </row>
    <row r="217">
      <c r="H217" s="7" t="n"/>
      <c r="I217" s="7" t="n"/>
      <c r="J217" s="7" t="n"/>
      <c r="K217" s="7" t="n"/>
      <c r="M217" s="8" t="n"/>
      <c r="P217" s="9" t="n"/>
      <c r="Q217" s="10" t="n"/>
      <c r="R217" s="10" t="n"/>
      <c r="S217" s="11" t="n"/>
      <c r="U217" s="12">
        <f>IF(OR(H217="",I217=""),"",ROUND(Settings!$B$4/ABS(H217-I217),2))</f>
        <v/>
      </c>
      <c r="V217" s="13">
        <f>IF(M217="","",ROUND(M217*Settings!$B$4,2))</f>
        <v/>
      </c>
      <c r="W217" s="12">
        <f>IF(M217="","",SUM($M$2:M217))</f>
        <v/>
      </c>
      <c r="X217" s="12">
        <f>IF(M217="","",MAX(0,N(X216),W217))</f>
        <v/>
      </c>
      <c r="Y217" s="12">
        <f>IF(M217="","",X217-W217)</f>
        <v/>
      </c>
      <c r="Z217" s="12">
        <f>IF(M217="","",IF(M217&lt;0,N(Z216)+1,0))</f>
        <v/>
      </c>
    </row>
    <row r="218">
      <c r="H218" s="7" t="n"/>
      <c r="I218" s="7" t="n"/>
      <c r="J218" s="7" t="n"/>
      <c r="K218" s="7" t="n"/>
      <c r="M218" s="8" t="n"/>
      <c r="P218" s="9" t="n"/>
      <c r="Q218" s="10" t="n"/>
      <c r="R218" s="10" t="n"/>
      <c r="S218" s="11" t="n"/>
      <c r="U218" s="12">
        <f>IF(OR(H218="",I218=""),"",ROUND(Settings!$B$4/ABS(H218-I218),2))</f>
        <v/>
      </c>
      <c r="V218" s="13">
        <f>IF(M218="","",ROUND(M218*Settings!$B$4,2))</f>
        <v/>
      </c>
      <c r="W218" s="12">
        <f>IF(M218="","",SUM($M$2:M218))</f>
        <v/>
      </c>
      <c r="X218" s="12">
        <f>IF(M218="","",MAX(0,N(X217),W218))</f>
        <v/>
      </c>
      <c r="Y218" s="12">
        <f>IF(M218="","",X218-W218)</f>
        <v/>
      </c>
      <c r="Z218" s="12">
        <f>IF(M218="","",IF(M218&lt;0,N(Z217)+1,0))</f>
        <v/>
      </c>
    </row>
    <row r="219">
      <c r="H219" s="7" t="n"/>
      <c r="I219" s="7" t="n"/>
      <c r="J219" s="7" t="n"/>
      <c r="K219" s="7" t="n"/>
      <c r="M219" s="8" t="n"/>
      <c r="P219" s="9" t="n"/>
      <c r="Q219" s="10" t="n"/>
      <c r="R219" s="10" t="n"/>
      <c r="S219" s="11" t="n"/>
      <c r="U219" s="12">
        <f>IF(OR(H219="",I219=""),"",ROUND(Settings!$B$4/ABS(H219-I219),2))</f>
        <v/>
      </c>
      <c r="V219" s="13">
        <f>IF(M219="","",ROUND(M219*Settings!$B$4,2))</f>
        <v/>
      </c>
      <c r="W219" s="12">
        <f>IF(M219="","",SUM($M$2:M219))</f>
        <v/>
      </c>
      <c r="X219" s="12">
        <f>IF(M219="","",MAX(0,N(X218),W219))</f>
        <v/>
      </c>
      <c r="Y219" s="12">
        <f>IF(M219="","",X219-W219)</f>
        <v/>
      </c>
      <c r="Z219" s="12">
        <f>IF(M219="","",IF(M219&lt;0,N(Z218)+1,0))</f>
        <v/>
      </c>
    </row>
    <row r="220">
      <c r="H220" s="7" t="n"/>
      <c r="I220" s="7" t="n"/>
      <c r="J220" s="7" t="n"/>
      <c r="K220" s="7" t="n"/>
      <c r="M220" s="8" t="n"/>
      <c r="P220" s="9" t="n"/>
      <c r="Q220" s="10" t="n"/>
      <c r="R220" s="10" t="n"/>
      <c r="S220" s="11" t="n"/>
      <c r="U220" s="12">
        <f>IF(OR(H220="",I220=""),"",ROUND(Settings!$B$4/ABS(H220-I220),2))</f>
        <v/>
      </c>
      <c r="V220" s="13">
        <f>IF(M220="","",ROUND(M220*Settings!$B$4,2))</f>
        <v/>
      </c>
      <c r="W220" s="12">
        <f>IF(M220="","",SUM($M$2:M220))</f>
        <v/>
      </c>
      <c r="X220" s="12">
        <f>IF(M220="","",MAX(0,N(X219),W220))</f>
        <v/>
      </c>
      <c r="Y220" s="12">
        <f>IF(M220="","",X220-W220)</f>
        <v/>
      </c>
      <c r="Z220" s="12">
        <f>IF(M220="","",IF(M220&lt;0,N(Z219)+1,0))</f>
        <v/>
      </c>
    </row>
    <row r="221">
      <c r="H221" s="7" t="n"/>
      <c r="I221" s="7" t="n"/>
      <c r="J221" s="7" t="n"/>
      <c r="K221" s="7" t="n"/>
      <c r="M221" s="8" t="n"/>
      <c r="P221" s="9" t="n"/>
      <c r="Q221" s="10" t="n"/>
      <c r="R221" s="10" t="n"/>
      <c r="S221" s="11" t="n"/>
      <c r="U221" s="12">
        <f>IF(OR(H221="",I221=""),"",ROUND(Settings!$B$4/ABS(H221-I221),2))</f>
        <v/>
      </c>
      <c r="V221" s="13">
        <f>IF(M221="","",ROUND(M221*Settings!$B$4,2))</f>
        <v/>
      </c>
      <c r="W221" s="12">
        <f>IF(M221="","",SUM($M$2:M221))</f>
        <v/>
      </c>
      <c r="X221" s="12">
        <f>IF(M221="","",MAX(0,N(X220),W221))</f>
        <v/>
      </c>
      <c r="Y221" s="12">
        <f>IF(M221="","",X221-W221)</f>
        <v/>
      </c>
      <c r="Z221" s="12">
        <f>IF(M221="","",IF(M221&lt;0,N(Z220)+1,0))</f>
        <v/>
      </c>
    </row>
    <row r="222">
      <c r="H222" s="7" t="n"/>
      <c r="I222" s="7" t="n"/>
      <c r="J222" s="7" t="n"/>
      <c r="K222" s="7" t="n"/>
      <c r="M222" s="8" t="n"/>
      <c r="P222" s="9" t="n"/>
      <c r="Q222" s="10" t="n"/>
      <c r="R222" s="10" t="n"/>
      <c r="S222" s="11" t="n"/>
      <c r="U222" s="12">
        <f>IF(OR(H222="",I222=""),"",ROUND(Settings!$B$4/ABS(H222-I222),2))</f>
        <v/>
      </c>
      <c r="V222" s="13">
        <f>IF(M222="","",ROUND(M222*Settings!$B$4,2))</f>
        <v/>
      </c>
      <c r="W222" s="12">
        <f>IF(M222="","",SUM($M$2:M222))</f>
        <v/>
      </c>
      <c r="X222" s="12">
        <f>IF(M222="","",MAX(0,N(X221),W222))</f>
        <v/>
      </c>
      <c r="Y222" s="12">
        <f>IF(M222="","",X222-W222)</f>
        <v/>
      </c>
      <c r="Z222" s="12">
        <f>IF(M222="","",IF(M222&lt;0,N(Z221)+1,0))</f>
        <v/>
      </c>
    </row>
    <row r="223">
      <c r="H223" s="7" t="n"/>
      <c r="I223" s="7" t="n"/>
      <c r="J223" s="7" t="n"/>
      <c r="K223" s="7" t="n"/>
      <c r="M223" s="8" t="n"/>
      <c r="P223" s="9" t="n"/>
      <c r="Q223" s="10" t="n"/>
      <c r="R223" s="10" t="n"/>
      <c r="S223" s="11" t="n"/>
      <c r="U223" s="12">
        <f>IF(OR(H223="",I223=""),"",ROUND(Settings!$B$4/ABS(H223-I223),2))</f>
        <v/>
      </c>
      <c r="V223" s="13">
        <f>IF(M223="","",ROUND(M223*Settings!$B$4,2))</f>
        <v/>
      </c>
      <c r="W223" s="12">
        <f>IF(M223="","",SUM($M$2:M223))</f>
        <v/>
      </c>
      <c r="X223" s="12">
        <f>IF(M223="","",MAX(0,N(X222),W223))</f>
        <v/>
      </c>
      <c r="Y223" s="12">
        <f>IF(M223="","",X223-W223)</f>
        <v/>
      </c>
      <c r="Z223" s="12">
        <f>IF(M223="","",IF(M223&lt;0,N(Z222)+1,0))</f>
        <v/>
      </c>
    </row>
    <row r="224">
      <c r="H224" s="7" t="n"/>
      <c r="I224" s="7" t="n"/>
      <c r="J224" s="7" t="n"/>
      <c r="K224" s="7" t="n"/>
      <c r="M224" s="8" t="n"/>
      <c r="P224" s="9" t="n"/>
      <c r="Q224" s="10" t="n"/>
      <c r="R224" s="10" t="n"/>
      <c r="S224" s="11" t="n"/>
      <c r="U224" s="12">
        <f>IF(OR(H224="",I224=""),"",ROUND(Settings!$B$4/ABS(H224-I224),2))</f>
        <v/>
      </c>
      <c r="V224" s="13">
        <f>IF(M224="","",ROUND(M224*Settings!$B$4,2))</f>
        <v/>
      </c>
      <c r="W224" s="12">
        <f>IF(M224="","",SUM($M$2:M224))</f>
        <v/>
      </c>
      <c r="X224" s="12">
        <f>IF(M224="","",MAX(0,N(X223),W224))</f>
        <v/>
      </c>
      <c r="Y224" s="12">
        <f>IF(M224="","",X224-W224)</f>
        <v/>
      </c>
      <c r="Z224" s="12">
        <f>IF(M224="","",IF(M224&lt;0,N(Z223)+1,0))</f>
        <v/>
      </c>
    </row>
    <row r="225">
      <c r="H225" s="7" t="n"/>
      <c r="I225" s="7" t="n"/>
      <c r="J225" s="7" t="n"/>
      <c r="K225" s="7" t="n"/>
      <c r="M225" s="8" t="n"/>
      <c r="P225" s="9" t="n"/>
      <c r="Q225" s="10" t="n"/>
      <c r="R225" s="10" t="n"/>
      <c r="S225" s="11" t="n"/>
      <c r="U225" s="12">
        <f>IF(OR(H225="",I225=""),"",ROUND(Settings!$B$4/ABS(H225-I225),2))</f>
        <v/>
      </c>
      <c r="V225" s="13">
        <f>IF(M225="","",ROUND(M225*Settings!$B$4,2))</f>
        <v/>
      </c>
      <c r="W225" s="12">
        <f>IF(M225="","",SUM($M$2:M225))</f>
        <v/>
      </c>
      <c r="X225" s="12">
        <f>IF(M225="","",MAX(0,N(X224),W225))</f>
        <v/>
      </c>
      <c r="Y225" s="12">
        <f>IF(M225="","",X225-W225)</f>
        <v/>
      </c>
      <c r="Z225" s="12">
        <f>IF(M225="","",IF(M225&lt;0,N(Z224)+1,0))</f>
        <v/>
      </c>
    </row>
    <row r="226">
      <c r="H226" s="7" t="n"/>
      <c r="I226" s="7" t="n"/>
      <c r="J226" s="7" t="n"/>
      <c r="K226" s="7" t="n"/>
      <c r="M226" s="8" t="n"/>
      <c r="P226" s="9" t="n"/>
      <c r="Q226" s="10" t="n"/>
      <c r="R226" s="10" t="n"/>
      <c r="S226" s="11" t="n"/>
      <c r="U226" s="12">
        <f>IF(OR(H226="",I226=""),"",ROUND(Settings!$B$4/ABS(H226-I226),2))</f>
        <v/>
      </c>
      <c r="V226" s="13">
        <f>IF(M226="","",ROUND(M226*Settings!$B$4,2))</f>
        <v/>
      </c>
      <c r="W226" s="12">
        <f>IF(M226="","",SUM($M$2:M226))</f>
        <v/>
      </c>
      <c r="X226" s="12">
        <f>IF(M226="","",MAX(0,N(X225),W226))</f>
        <v/>
      </c>
      <c r="Y226" s="12">
        <f>IF(M226="","",X226-W226)</f>
        <v/>
      </c>
      <c r="Z226" s="12">
        <f>IF(M226="","",IF(M226&lt;0,N(Z225)+1,0))</f>
        <v/>
      </c>
    </row>
    <row r="227">
      <c r="H227" s="7" t="n"/>
      <c r="I227" s="7" t="n"/>
      <c r="J227" s="7" t="n"/>
      <c r="K227" s="7" t="n"/>
      <c r="M227" s="8" t="n"/>
      <c r="P227" s="9" t="n"/>
      <c r="Q227" s="10" t="n"/>
      <c r="R227" s="10" t="n"/>
      <c r="S227" s="11" t="n"/>
      <c r="U227" s="12">
        <f>IF(OR(H227="",I227=""),"",ROUND(Settings!$B$4/ABS(H227-I227),2))</f>
        <v/>
      </c>
      <c r="V227" s="13">
        <f>IF(M227="","",ROUND(M227*Settings!$B$4,2))</f>
        <v/>
      </c>
      <c r="W227" s="12">
        <f>IF(M227="","",SUM($M$2:M227))</f>
        <v/>
      </c>
      <c r="X227" s="12">
        <f>IF(M227="","",MAX(0,N(X226),W227))</f>
        <v/>
      </c>
      <c r="Y227" s="12">
        <f>IF(M227="","",X227-W227)</f>
        <v/>
      </c>
      <c r="Z227" s="12">
        <f>IF(M227="","",IF(M227&lt;0,N(Z226)+1,0))</f>
        <v/>
      </c>
    </row>
    <row r="228">
      <c r="H228" s="7" t="n"/>
      <c r="I228" s="7" t="n"/>
      <c r="J228" s="7" t="n"/>
      <c r="K228" s="7" t="n"/>
      <c r="M228" s="8" t="n"/>
      <c r="P228" s="9" t="n"/>
      <c r="Q228" s="10" t="n"/>
      <c r="R228" s="10" t="n"/>
      <c r="S228" s="11" t="n"/>
      <c r="U228" s="12">
        <f>IF(OR(H228="",I228=""),"",ROUND(Settings!$B$4/ABS(H228-I228),2))</f>
        <v/>
      </c>
      <c r="V228" s="13">
        <f>IF(M228="","",ROUND(M228*Settings!$B$4,2))</f>
        <v/>
      </c>
      <c r="W228" s="12">
        <f>IF(M228="","",SUM($M$2:M228))</f>
        <v/>
      </c>
      <c r="X228" s="12">
        <f>IF(M228="","",MAX(0,N(X227),W228))</f>
        <v/>
      </c>
      <c r="Y228" s="12">
        <f>IF(M228="","",X228-W228)</f>
        <v/>
      </c>
      <c r="Z228" s="12">
        <f>IF(M228="","",IF(M228&lt;0,N(Z227)+1,0))</f>
        <v/>
      </c>
    </row>
    <row r="229">
      <c r="H229" s="7" t="n"/>
      <c r="I229" s="7" t="n"/>
      <c r="J229" s="7" t="n"/>
      <c r="K229" s="7" t="n"/>
      <c r="M229" s="8" t="n"/>
      <c r="P229" s="9" t="n"/>
      <c r="Q229" s="10" t="n"/>
      <c r="R229" s="10" t="n"/>
      <c r="S229" s="11" t="n"/>
      <c r="U229" s="12">
        <f>IF(OR(H229="",I229=""),"",ROUND(Settings!$B$4/ABS(H229-I229),2))</f>
        <v/>
      </c>
      <c r="V229" s="13">
        <f>IF(M229="","",ROUND(M229*Settings!$B$4,2))</f>
        <v/>
      </c>
      <c r="W229" s="12">
        <f>IF(M229="","",SUM($M$2:M229))</f>
        <v/>
      </c>
      <c r="X229" s="12">
        <f>IF(M229="","",MAX(0,N(X228),W229))</f>
        <v/>
      </c>
      <c r="Y229" s="12">
        <f>IF(M229="","",X229-W229)</f>
        <v/>
      </c>
      <c r="Z229" s="12">
        <f>IF(M229="","",IF(M229&lt;0,N(Z228)+1,0))</f>
        <v/>
      </c>
    </row>
    <row r="230">
      <c r="H230" s="7" t="n"/>
      <c r="I230" s="7" t="n"/>
      <c r="J230" s="7" t="n"/>
      <c r="K230" s="7" t="n"/>
      <c r="M230" s="8" t="n"/>
      <c r="P230" s="9" t="n"/>
      <c r="Q230" s="10" t="n"/>
      <c r="R230" s="10" t="n"/>
      <c r="S230" s="11" t="n"/>
      <c r="U230" s="12">
        <f>IF(OR(H230="",I230=""),"",ROUND(Settings!$B$4/ABS(H230-I230),2))</f>
        <v/>
      </c>
      <c r="V230" s="13">
        <f>IF(M230="","",ROUND(M230*Settings!$B$4,2))</f>
        <v/>
      </c>
      <c r="W230" s="12">
        <f>IF(M230="","",SUM($M$2:M230))</f>
        <v/>
      </c>
      <c r="X230" s="12">
        <f>IF(M230="","",MAX(0,N(X229),W230))</f>
        <v/>
      </c>
      <c r="Y230" s="12">
        <f>IF(M230="","",X230-W230)</f>
        <v/>
      </c>
      <c r="Z230" s="12">
        <f>IF(M230="","",IF(M230&lt;0,N(Z229)+1,0))</f>
        <v/>
      </c>
    </row>
    <row r="231">
      <c r="H231" s="7" t="n"/>
      <c r="I231" s="7" t="n"/>
      <c r="J231" s="7" t="n"/>
      <c r="K231" s="7" t="n"/>
      <c r="M231" s="8" t="n"/>
      <c r="P231" s="9" t="n"/>
      <c r="Q231" s="10" t="n"/>
      <c r="R231" s="10" t="n"/>
      <c r="S231" s="11" t="n"/>
      <c r="U231" s="12">
        <f>IF(OR(H231="",I231=""),"",ROUND(Settings!$B$4/ABS(H231-I231),2))</f>
        <v/>
      </c>
      <c r="V231" s="13">
        <f>IF(M231="","",ROUND(M231*Settings!$B$4,2))</f>
        <v/>
      </c>
      <c r="W231" s="12">
        <f>IF(M231="","",SUM($M$2:M231))</f>
        <v/>
      </c>
      <c r="X231" s="12">
        <f>IF(M231="","",MAX(0,N(X230),W231))</f>
        <v/>
      </c>
      <c r="Y231" s="12">
        <f>IF(M231="","",X231-W231)</f>
        <v/>
      </c>
      <c r="Z231" s="12">
        <f>IF(M231="","",IF(M231&lt;0,N(Z230)+1,0))</f>
        <v/>
      </c>
    </row>
    <row r="232">
      <c r="H232" s="7" t="n"/>
      <c r="I232" s="7" t="n"/>
      <c r="J232" s="7" t="n"/>
      <c r="K232" s="7" t="n"/>
      <c r="M232" s="8" t="n"/>
      <c r="P232" s="9" t="n"/>
      <c r="Q232" s="10" t="n"/>
      <c r="R232" s="10" t="n"/>
      <c r="S232" s="11" t="n"/>
      <c r="U232" s="12">
        <f>IF(OR(H232="",I232=""),"",ROUND(Settings!$B$4/ABS(H232-I232),2))</f>
        <v/>
      </c>
      <c r="V232" s="13">
        <f>IF(M232="","",ROUND(M232*Settings!$B$4,2))</f>
        <v/>
      </c>
      <c r="W232" s="12">
        <f>IF(M232="","",SUM($M$2:M232))</f>
        <v/>
      </c>
      <c r="X232" s="12">
        <f>IF(M232="","",MAX(0,N(X231),W232))</f>
        <v/>
      </c>
      <c r="Y232" s="12">
        <f>IF(M232="","",X232-W232)</f>
        <v/>
      </c>
      <c r="Z232" s="12">
        <f>IF(M232="","",IF(M232&lt;0,N(Z231)+1,0))</f>
        <v/>
      </c>
    </row>
    <row r="233">
      <c r="H233" s="7" t="n"/>
      <c r="I233" s="7" t="n"/>
      <c r="J233" s="7" t="n"/>
      <c r="K233" s="7" t="n"/>
      <c r="M233" s="8" t="n"/>
      <c r="P233" s="9" t="n"/>
      <c r="Q233" s="10" t="n"/>
      <c r="R233" s="10" t="n"/>
      <c r="S233" s="11" t="n"/>
      <c r="U233" s="12">
        <f>IF(OR(H233="",I233=""),"",ROUND(Settings!$B$4/ABS(H233-I233),2))</f>
        <v/>
      </c>
      <c r="V233" s="13">
        <f>IF(M233="","",ROUND(M233*Settings!$B$4,2))</f>
        <v/>
      </c>
      <c r="W233" s="12">
        <f>IF(M233="","",SUM($M$2:M233))</f>
        <v/>
      </c>
      <c r="X233" s="12">
        <f>IF(M233="","",MAX(0,N(X232),W233))</f>
        <v/>
      </c>
      <c r="Y233" s="12">
        <f>IF(M233="","",X233-W233)</f>
        <v/>
      </c>
      <c r="Z233" s="12">
        <f>IF(M233="","",IF(M233&lt;0,N(Z232)+1,0))</f>
        <v/>
      </c>
    </row>
    <row r="234">
      <c r="H234" s="7" t="n"/>
      <c r="I234" s="7" t="n"/>
      <c r="J234" s="7" t="n"/>
      <c r="K234" s="7" t="n"/>
      <c r="M234" s="8" t="n"/>
      <c r="P234" s="9" t="n"/>
      <c r="Q234" s="10" t="n"/>
      <c r="R234" s="10" t="n"/>
      <c r="S234" s="11" t="n"/>
      <c r="U234" s="12">
        <f>IF(OR(H234="",I234=""),"",ROUND(Settings!$B$4/ABS(H234-I234),2))</f>
        <v/>
      </c>
      <c r="V234" s="13">
        <f>IF(M234="","",ROUND(M234*Settings!$B$4,2))</f>
        <v/>
      </c>
      <c r="W234" s="12">
        <f>IF(M234="","",SUM($M$2:M234))</f>
        <v/>
      </c>
      <c r="X234" s="12">
        <f>IF(M234="","",MAX(0,N(X233),W234))</f>
        <v/>
      </c>
      <c r="Y234" s="12">
        <f>IF(M234="","",X234-W234)</f>
        <v/>
      </c>
      <c r="Z234" s="12">
        <f>IF(M234="","",IF(M234&lt;0,N(Z233)+1,0))</f>
        <v/>
      </c>
    </row>
    <row r="235">
      <c r="H235" s="7" t="n"/>
      <c r="I235" s="7" t="n"/>
      <c r="J235" s="7" t="n"/>
      <c r="K235" s="7" t="n"/>
      <c r="M235" s="8" t="n"/>
      <c r="P235" s="9" t="n"/>
      <c r="Q235" s="10" t="n"/>
      <c r="R235" s="10" t="n"/>
      <c r="S235" s="11" t="n"/>
      <c r="U235" s="12">
        <f>IF(OR(H235="",I235=""),"",ROUND(Settings!$B$4/ABS(H235-I235),2))</f>
        <v/>
      </c>
      <c r="V235" s="13">
        <f>IF(M235="","",ROUND(M235*Settings!$B$4,2))</f>
        <v/>
      </c>
      <c r="W235" s="12">
        <f>IF(M235="","",SUM($M$2:M235))</f>
        <v/>
      </c>
      <c r="X235" s="12">
        <f>IF(M235="","",MAX(0,N(X234),W235))</f>
        <v/>
      </c>
      <c r="Y235" s="12">
        <f>IF(M235="","",X235-W235)</f>
        <v/>
      </c>
      <c r="Z235" s="12">
        <f>IF(M235="","",IF(M235&lt;0,N(Z234)+1,0))</f>
        <v/>
      </c>
    </row>
    <row r="236">
      <c r="H236" s="7" t="n"/>
      <c r="I236" s="7" t="n"/>
      <c r="J236" s="7" t="n"/>
      <c r="K236" s="7" t="n"/>
      <c r="M236" s="8" t="n"/>
      <c r="P236" s="9" t="n"/>
      <c r="Q236" s="10" t="n"/>
      <c r="R236" s="10" t="n"/>
      <c r="S236" s="11" t="n"/>
      <c r="U236" s="12">
        <f>IF(OR(H236="",I236=""),"",ROUND(Settings!$B$4/ABS(H236-I236),2))</f>
        <v/>
      </c>
      <c r="V236" s="13">
        <f>IF(M236="","",ROUND(M236*Settings!$B$4,2))</f>
        <v/>
      </c>
      <c r="W236" s="12">
        <f>IF(M236="","",SUM($M$2:M236))</f>
        <v/>
      </c>
      <c r="X236" s="12">
        <f>IF(M236="","",MAX(0,N(X235),W236))</f>
        <v/>
      </c>
      <c r="Y236" s="12">
        <f>IF(M236="","",X236-W236)</f>
        <v/>
      </c>
      <c r="Z236" s="12">
        <f>IF(M236="","",IF(M236&lt;0,N(Z235)+1,0))</f>
        <v/>
      </c>
    </row>
    <row r="237">
      <c r="H237" s="7" t="n"/>
      <c r="I237" s="7" t="n"/>
      <c r="J237" s="7" t="n"/>
      <c r="K237" s="7" t="n"/>
      <c r="M237" s="8" t="n"/>
      <c r="P237" s="9" t="n"/>
      <c r="Q237" s="10" t="n"/>
      <c r="R237" s="10" t="n"/>
      <c r="S237" s="11" t="n"/>
      <c r="U237" s="12">
        <f>IF(OR(H237="",I237=""),"",ROUND(Settings!$B$4/ABS(H237-I237),2))</f>
        <v/>
      </c>
      <c r="V237" s="13">
        <f>IF(M237="","",ROUND(M237*Settings!$B$4,2))</f>
        <v/>
      </c>
      <c r="W237" s="12">
        <f>IF(M237="","",SUM($M$2:M237))</f>
        <v/>
      </c>
      <c r="X237" s="12">
        <f>IF(M237="","",MAX(0,N(X236),W237))</f>
        <v/>
      </c>
      <c r="Y237" s="12">
        <f>IF(M237="","",X237-W237)</f>
        <v/>
      </c>
      <c r="Z237" s="12">
        <f>IF(M237="","",IF(M237&lt;0,N(Z236)+1,0))</f>
        <v/>
      </c>
    </row>
    <row r="238">
      <c r="H238" s="7" t="n"/>
      <c r="I238" s="7" t="n"/>
      <c r="J238" s="7" t="n"/>
      <c r="K238" s="7" t="n"/>
      <c r="M238" s="8" t="n"/>
      <c r="P238" s="9" t="n"/>
      <c r="Q238" s="10" t="n"/>
      <c r="R238" s="10" t="n"/>
      <c r="S238" s="11" t="n"/>
      <c r="U238" s="12">
        <f>IF(OR(H238="",I238=""),"",ROUND(Settings!$B$4/ABS(H238-I238),2))</f>
        <v/>
      </c>
      <c r="V238" s="13">
        <f>IF(M238="","",ROUND(M238*Settings!$B$4,2))</f>
        <v/>
      </c>
      <c r="W238" s="12">
        <f>IF(M238="","",SUM($M$2:M238))</f>
        <v/>
      </c>
      <c r="X238" s="12">
        <f>IF(M238="","",MAX(0,N(X237),W238))</f>
        <v/>
      </c>
      <c r="Y238" s="12">
        <f>IF(M238="","",X238-W238)</f>
        <v/>
      </c>
      <c r="Z238" s="12">
        <f>IF(M238="","",IF(M238&lt;0,N(Z237)+1,0))</f>
        <v/>
      </c>
    </row>
    <row r="239">
      <c r="H239" s="7" t="n"/>
      <c r="I239" s="7" t="n"/>
      <c r="J239" s="7" t="n"/>
      <c r="K239" s="7" t="n"/>
      <c r="M239" s="8" t="n"/>
      <c r="P239" s="9" t="n"/>
      <c r="Q239" s="10" t="n"/>
      <c r="R239" s="10" t="n"/>
      <c r="S239" s="11" t="n"/>
      <c r="U239" s="12">
        <f>IF(OR(H239="",I239=""),"",ROUND(Settings!$B$4/ABS(H239-I239),2))</f>
        <v/>
      </c>
      <c r="V239" s="13">
        <f>IF(M239="","",ROUND(M239*Settings!$B$4,2))</f>
        <v/>
      </c>
      <c r="W239" s="12">
        <f>IF(M239="","",SUM($M$2:M239))</f>
        <v/>
      </c>
      <c r="X239" s="12">
        <f>IF(M239="","",MAX(0,N(X238),W239))</f>
        <v/>
      </c>
      <c r="Y239" s="12">
        <f>IF(M239="","",X239-W239)</f>
        <v/>
      </c>
      <c r="Z239" s="12">
        <f>IF(M239="","",IF(M239&lt;0,N(Z238)+1,0))</f>
        <v/>
      </c>
    </row>
    <row r="240">
      <c r="H240" s="7" t="n"/>
      <c r="I240" s="7" t="n"/>
      <c r="J240" s="7" t="n"/>
      <c r="K240" s="7" t="n"/>
      <c r="M240" s="8" t="n"/>
      <c r="P240" s="9" t="n"/>
      <c r="Q240" s="10" t="n"/>
      <c r="R240" s="10" t="n"/>
      <c r="S240" s="11" t="n"/>
      <c r="U240" s="12">
        <f>IF(OR(H240="",I240=""),"",ROUND(Settings!$B$4/ABS(H240-I240),2))</f>
        <v/>
      </c>
      <c r="V240" s="13">
        <f>IF(M240="","",ROUND(M240*Settings!$B$4,2))</f>
        <v/>
      </c>
      <c r="W240" s="12">
        <f>IF(M240="","",SUM($M$2:M240))</f>
        <v/>
      </c>
      <c r="X240" s="12">
        <f>IF(M240="","",MAX(0,N(X239),W240))</f>
        <v/>
      </c>
      <c r="Y240" s="12">
        <f>IF(M240="","",X240-W240)</f>
        <v/>
      </c>
      <c r="Z240" s="12">
        <f>IF(M240="","",IF(M240&lt;0,N(Z239)+1,0))</f>
        <v/>
      </c>
    </row>
    <row r="241">
      <c r="H241" s="7" t="n"/>
      <c r="I241" s="7" t="n"/>
      <c r="J241" s="7" t="n"/>
      <c r="K241" s="7" t="n"/>
      <c r="M241" s="8" t="n"/>
      <c r="P241" s="9" t="n"/>
      <c r="Q241" s="10" t="n"/>
      <c r="R241" s="10" t="n"/>
      <c r="S241" s="11" t="n"/>
      <c r="U241" s="12">
        <f>IF(OR(H241="",I241=""),"",ROUND(Settings!$B$4/ABS(H241-I241),2))</f>
        <v/>
      </c>
      <c r="V241" s="13">
        <f>IF(M241="","",ROUND(M241*Settings!$B$4,2))</f>
        <v/>
      </c>
      <c r="W241" s="12">
        <f>IF(M241="","",SUM($M$2:M241))</f>
        <v/>
      </c>
      <c r="X241" s="12">
        <f>IF(M241="","",MAX(0,N(X240),W241))</f>
        <v/>
      </c>
      <c r="Y241" s="12">
        <f>IF(M241="","",X241-W241)</f>
        <v/>
      </c>
      <c r="Z241" s="12">
        <f>IF(M241="","",IF(M241&lt;0,N(Z240)+1,0))</f>
        <v/>
      </c>
    </row>
    <row r="242">
      <c r="H242" s="7" t="n"/>
      <c r="I242" s="7" t="n"/>
      <c r="J242" s="7" t="n"/>
      <c r="K242" s="7" t="n"/>
      <c r="M242" s="8" t="n"/>
      <c r="P242" s="9" t="n"/>
      <c r="Q242" s="10" t="n"/>
      <c r="R242" s="10" t="n"/>
      <c r="S242" s="11" t="n"/>
      <c r="U242" s="12">
        <f>IF(OR(H242="",I242=""),"",ROUND(Settings!$B$4/ABS(H242-I242),2))</f>
        <v/>
      </c>
      <c r="V242" s="13">
        <f>IF(M242="","",ROUND(M242*Settings!$B$4,2))</f>
        <v/>
      </c>
      <c r="W242" s="12">
        <f>IF(M242="","",SUM($M$2:M242))</f>
        <v/>
      </c>
      <c r="X242" s="12">
        <f>IF(M242="","",MAX(0,N(X241),W242))</f>
        <v/>
      </c>
      <c r="Y242" s="12">
        <f>IF(M242="","",X242-W242)</f>
        <v/>
      </c>
      <c r="Z242" s="12">
        <f>IF(M242="","",IF(M242&lt;0,N(Z241)+1,0))</f>
        <v/>
      </c>
    </row>
    <row r="243">
      <c r="H243" s="7" t="n"/>
      <c r="I243" s="7" t="n"/>
      <c r="J243" s="7" t="n"/>
      <c r="K243" s="7" t="n"/>
      <c r="M243" s="8" t="n"/>
      <c r="P243" s="9" t="n"/>
      <c r="Q243" s="10" t="n"/>
      <c r="R243" s="10" t="n"/>
      <c r="S243" s="11" t="n"/>
      <c r="U243" s="12">
        <f>IF(OR(H243="",I243=""),"",ROUND(Settings!$B$4/ABS(H243-I243),2))</f>
        <v/>
      </c>
      <c r="V243" s="13">
        <f>IF(M243="","",ROUND(M243*Settings!$B$4,2))</f>
        <v/>
      </c>
      <c r="W243" s="12">
        <f>IF(M243="","",SUM($M$2:M243))</f>
        <v/>
      </c>
      <c r="X243" s="12">
        <f>IF(M243="","",MAX(0,N(X242),W243))</f>
        <v/>
      </c>
      <c r="Y243" s="12">
        <f>IF(M243="","",X243-W243)</f>
        <v/>
      </c>
      <c r="Z243" s="12">
        <f>IF(M243="","",IF(M243&lt;0,N(Z242)+1,0))</f>
        <v/>
      </c>
    </row>
    <row r="244">
      <c r="H244" s="7" t="n"/>
      <c r="I244" s="7" t="n"/>
      <c r="J244" s="7" t="n"/>
      <c r="K244" s="7" t="n"/>
      <c r="M244" s="8" t="n"/>
      <c r="P244" s="9" t="n"/>
      <c r="Q244" s="10" t="n"/>
      <c r="R244" s="10" t="n"/>
      <c r="S244" s="11" t="n"/>
      <c r="U244" s="12">
        <f>IF(OR(H244="",I244=""),"",ROUND(Settings!$B$4/ABS(H244-I244),2))</f>
        <v/>
      </c>
      <c r="V244" s="13">
        <f>IF(M244="","",ROUND(M244*Settings!$B$4,2))</f>
        <v/>
      </c>
      <c r="W244" s="12">
        <f>IF(M244="","",SUM($M$2:M244))</f>
        <v/>
      </c>
      <c r="X244" s="12">
        <f>IF(M244="","",MAX(0,N(X243),W244))</f>
        <v/>
      </c>
      <c r="Y244" s="12">
        <f>IF(M244="","",X244-W244)</f>
        <v/>
      </c>
      <c r="Z244" s="12">
        <f>IF(M244="","",IF(M244&lt;0,N(Z243)+1,0))</f>
        <v/>
      </c>
    </row>
    <row r="245">
      <c r="H245" s="7" t="n"/>
      <c r="I245" s="7" t="n"/>
      <c r="J245" s="7" t="n"/>
      <c r="K245" s="7" t="n"/>
      <c r="M245" s="8" t="n"/>
      <c r="P245" s="9" t="n"/>
      <c r="Q245" s="10" t="n"/>
      <c r="R245" s="10" t="n"/>
      <c r="S245" s="11" t="n"/>
      <c r="U245" s="12">
        <f>IF(OR(H245="",I245=""),"",ROUND(Settings!$B$4/ABS(H245-I245),2))</f>
        <v/>
      </c>
      <c r="V245" s="13">
        <f>IF(M245="","",ROUND(M245*Settings!$B$4,2))</f>
        <v/>
      </c>
      <c r="W245" s="12">
        <f>IF(M245="","",SUM($M$2:M245))</f>
        <v/>
      </c>
      <c r="X245" s="12">
        <f>IF(M245="","",MAX(0,N(X244),W245))</f>
        <v/>
      </c>
      <c r="Y245" s="12">
        <f>IF(M245="","",X245-W245)</f>
        <v/>
      </c>
      <c r="Z245" s="12">
        <f>IF(M245="","",IF(M245&lt;0,N(Z244)+1,0))</f>
        <v/>
      </c>
    </row>
    <row r="246">
      <c r="H246" s="7" t="n"/>
      <c r="I246" s="7" t="n"/>
      <c r="J246" s="7" t="n"/>
      <c r="K246" s="7" t="n"/>
      <c r="M246" s="8" t="n"/>
      <c r="P246" s="9" t="n"/>
      <c r="Q246" s="10" t="n"/>
      <c r="R246" s="10" t="n"/>
      <c r="S246" s="11" t="n"/>
      <c r="U246" s="12">
        <f>IF(OR(H246="",I246=""),"",ROUND(Settings!$B$4/ABS(H246-I246),2))</f>
        <v/>
      </c>
      <c r="V246" s="13">
        <f>IF(M246="","",ROUND(M246*Settings!$B$4,2))</f>
        <v/>
      </c>
      <c r="W246" s="12">
        <f>IF(M246="","",SUM($M$2:M246))</f>
        <v/>
      </c>
      <c r="X246" s="12">
        <f>IF(M246="","",MAX(0,N(X245),W246))</f>
        <v/>
      </c>
      <c r="Y246" s="12">
        <f>IF(M246="","",X246-W246)</f>
        <v/>
      </c>
      <c r="Z246" s="12">
        <f>IF(M246="","",IF(M246&lt;0,N(Z245)+1,0))</f>
        <v/>
      </c>
    </row>
    <row r="247">
      <c r="H247" s="7" t="n"/>
      <c r="I247" s="7" t="n"/>
      <c r="J247" s="7" t="n"/>
      <c r="K247" s="7" t="n"/>
      <c r="M247" s="8" t="n"/>
      <c r="P247" s="9" t="n"/>
      <c r="Q247" s="10" t="n"/>
      <c r="R247" s="10" t="n"/>
      <c r="S247" s="11" t="n"/>
      <c r="U247" s="12">
        <f>IF(OR(H247="",I247=""),"",ROUND(Settings!$B$4/ABS(H247-I247),2))</f>
        <v/>
      </c>
      <c r="V247" s="13">
        <f>IF(M247="","",ROUND(M247*Settings!$B$4,2))</f>
        <v/>
      </c>
      <c r="W247" s="12">
        <f>IF(M247="","",SUM($M$2:M247))</f>
        <v/>
      </c>
      <c r="X247" s="12">
        <f>IF(M247="","",MAX(0,N(X246),W247))</f>
        <v/>
      </c>
      <c r="Y247" s="12">
        <f>IF(M247="","",X247-W247)</f>
        <v/>
      </c>
      <c r="Z247" s="12">
        <f>IF(M247="","",IF(M247&lt;0,N(Z246)+1,0))</f>
        <v/>
      </c>
    </row>
    <row r="248">
      <c r="H248" s="7" t="n"/>
      <c r="I248" s="7" t="n"/>
      <c r="J248" s="7" t="n"/>
      <c r="K248" s="7" t="n"/>
      <c r="M248" s="8" t="n"/>
      <c r="P248" s="9" t="n"/>
      <c r="Q248" s="10" t="n"/>
      <c r="R248" s="10" t="n"/>
      <c r="S248" s="11" t="n"/>
      <c r="U248" s="12">
        <f>IF(OR(H248="",I248=""),"",ROUND(Settings!$B$4/ABS(H248-I248),2))</f>
        <v/>
      </c>
      <c r="V248" s="13">
        <f>IF(M248="","",ROUND(M248*Settings!$B$4,2))</f>
        <v/>
      </c>
      <c r="W248" s="12">
        <f>IF(M248="","",SUM($M$2:M248))</f>
        <v/>
      </c>
      <c r="X248" s="12">
        <f>IF(M248="","",MAX(0,N(X247),W248))</f>
        <v/>
      </c>
      <c r="Y248" s="12">
        <f>IF(M248="","",X248-W248)</f>
        <v/>
      </c>
      <c r="Z248" s="12">
        <f>IF(M248="","",IF(M248&lt;0,N(Z247)+1,0))</f>
        <v/>
      </c>
    </row>
    <row r="249">
      <c r="H249" s="7" t="n"/>
      <c r="I249" s="7" t="n"/>
      <c r="J249" s="7" t="n"/>
      <c r="K249" s="7" t="n"/>
      <c r="M249" s="8" t="n"/>
      <c r="P249" s="9" t="n"/>
      <c r="Q249" s="10" t="n"/>
      <c r="R249" s="10" t="n"/>
      <c r="S249" s="11" t="n"/>
      <c r="U249" s="12">
        <f>IF(OR(H249="",I249=""),"",ROUND(Settings!$B$4/ABS(H249-I249),2))</f>
        <v/>
      </c>
      <c r="V249" s="13">
        <f>IF(M249="","",ROUND(M249*Settings!$B$4,2))</f>
        <v/>
      </c>
      <c r="W249" s="12">
        <f>IF(M249="","",SUM($M$2:M249))</f>
        <v/>
      </c>
      <c r="X249" s="12">
        <f>IF(M249="","",MAX(0,N(X248),W249))</f>
        <v/>
      </c>
      <c r="Y249" s="12">
        <f>IF(M249="","",X249-W249)</f>
        <v/>
      </c>
      <c r="Z249" s="12">
        <f>IF(M249="","",IF(M249&lt;0,N(Z248)+1,0))</f>
        <v/>
      </c>
    </row>
    <row r="250">
      <c r="H250" s="7" t="n"/>
      <c r="I250" s="7" t="n"/>
      <c r="J250" s="7" t="n"/>
      <c r="K250" s="7" t="n"/>
      <c r="M250" s="8" t="n"/>
      <c r="P250" s="9" t="n"/>
      <c r="Q250" s="10" t="n"/>
      <c r="R250" s="10" t="n"/>
      <c r="S250" s="11" t="n"/>
      <c r="U250" s="12">
        <f>IF(OR(H250="",I250=""),"",ROUND(Settings!$B$4/ABS(H250-I250),2))</f>
        <v/>
      </c>
      <c r="V250" s="13">
        <f>IF(M250="","",ROUND(M250*Settings!$B$4,2))</f>
        <v/>
      </c>
      <c r="W250" s="12">
        <f>IF(M250="","",SUM($M$2:M250))</f>
        <v/>
      </c>
      <c r="X250" s="12">
        <f>IF(M250="","",MAX(0,N(X249),W250))</f>
        <v/>
      </c>
      <c r="Y250" s="12">
        <f>IF(M250="","",X250-W250)</f>
        <v/>
      </c>
      <c r="Z250" s="12">
        <f>IF(M250="","",IF(M250&lt;0,N(Z249)+1,0))</f>
        <v/>
      </c>
    </row>
    <row r="251">
      <c r="H251" s="7" t="n"/>
      <c r="I251" s="7" t="n"/>
      <c r="J251" s="7" t="n"/>
      <c r="K251" s="7" t="n"/>
      <c r="M251" s="8" t="n"/>
      <c r="P251" s="9" t="n"/>
      <c r="Q251" s="10" t="n"/>
      <c r="R251" s="10" t="n"/>
      <c r="S251" s="11" t="n"/>
      <c r="U251" s="12">
        <f>IF(OR(H251="",I251=""),"",ROUND(Settings!$B$4/ABS(H251-I251),2))</f>
        <v/>
      </c>
      <c r="V251" s="13">
        <f>IF(M251="","",ROUND(M251*Settings!$B$4,2))</f>
        <v/>
      </c>
      <c r="W251" s="12">
        <f>IF(M251="","",SUM($M$2:M251))</f>
        <v/>
      </c>
      <c r="X251" s="12">
        <f>IF(M251="","",MAX(0,N(X250),W251))</f>
        <v/>
      </c>
      <c r="Y251" s="12">
        <f>IF(M251="","",X251-W251)</f>
        <v/>
      </c>
      <c r="Z251" s="12">
        <f>IF(M251="","",IF(M251&lt;0,N(Z250)+1,0))</f>
        <v/>
      </c>
    </row>
    <row r="252">
      <c r="H252" s="7" t="n"/>
      <c r="I252" s="7" t="n"/>
      <c r="J252" s="7" t="n"/>
      <c r="K252" s="7" t="n"/>
      <c r="M252" s="8" t="n"/>
      <c r="P252" s="9" t="n"/>
      <c r="Q252" s="10" t="n"/>
      <c r="R252" s="10" t="n"/>
      <c r="S252" s="11" t="n"/>
      <c r="U252" s="12">
        <f>IF(OR(H252="",I252=""),"",ROUND(Settings!$B$4/ABS(H252-I252),2))</f>
        <v/>
      </c>
      <c r="V252" s="13">
        <f>IF(M252="","",ROUND(M252*Settings!$B$4,2))</f>
        <v/>
      </c>
      <c r="W252" s="12">
        <f>IF(M252="","",SUM($M$2:M252))</f>
        <v/>
      </c>
      <c r="X252" s="12">
        <f>IF(M252="","",MAX(0,N(X251),W252))</f>
        <v/>
      </c>
      <c r="Y252" s="12">
        <f>IF(M252="","",X252-W252)</f>
        <v/>
      </c>
      <c r="Z252" s="12">
        <f>IF(M252="","",IF(M252&lt;0,N(Z251)+1,0))</f>
        <v/>
      </c>
    </row>
    <row r="253">
      <c r="H253" s="7" t="n"/>
      <c r="I253" s="7" t="n"/>
      <c r="J253" s="7" t="n"/>
      <c r="K253" s="7" t="n"/>
      <c r="M253" s="8" t="n"/>
      <c r="P253" s="9" t="n"/>
      <c r="Q253" s="10" t="n"/>
      <c r="R253" s="10" t="n"/>
      <c r="S253" s="11" t="n"/>
      <c r="U253" s="12">
        <f>IF(OR(H253="",I253=""),"",ROUND(Settings!$B$4/ABS(H253-I253),2))</f>
        <v/>
      </c>
      <c r="V253" s="13">
        <f>IF(M253="","",ROUND(M253*Settings!$B$4,2))</f>
        <v/>
      </c>
      <c r="W253" s="12">
        <f>IF(M253="","",SUM($M$2:M253))</f>
        <v/>
      </c>
      <c r="X253" s="12">
        <f>IF(M253="","",MAX(0,N(X252),W253))</f>
        <v/>
      </c>
      <c r="Y253" s="12">
        <f>IF(M253="","",X253-W253)</f>
        <v/>
      </c>
      <c r="Z253" s="12">
        <f>IF(M253="","",IF(M253&lt;0,N(Z252)+1,0))</f>
        <v/>
      </c>
    </row>
    <row r="254">
      <c r="H254" s="7" t="n"/>
      <c r="I254" s="7" t="n"/>
      <c r="J254" s="7" t="n"/>
      <c r="K254" s="7" t="n"/>
      <c r="M254" s="8" t="n"/>
      <c r="P254" s="9" t="n"/>
      <c r="Q254" s="10" t="n"/>
      <c r="R254" s="10" t="n"/>
      <c r="S254" s="11" t="n"/>
      <c r="U254" s="12">
        <f>IF(OR(H254="",I254=""),"",ROUND(Settings!$B$4/ABS(H254-I254),2))</f>
        <v/>
      </c>
      <c r="V254" s="13">
        <f>IF(M254="","",ROUND(M254*Settings!$B$4,2))</f>
        <v/>
      </c>
      <c r="W254" s="12">
        <f>IF(M254="","",SUM($M$2:M254))</f>
        <v/>
      </c>
      <c r="X254" s="12">
        <f>IF(M254="","",MAX(0,N(X253),W254))</f>
        <v/>
      </c>
      <c r="Y254" s="12">
        <f>IF(M254="","",X254-W254)</f>
        <v/>
      </c>
      <c r="Z254" s="12">
        <f>IF(M254="","",IF(M254&lt;0,N(Z253)+1,0))</f>
        <v/>
      </c>
    </row>
    <row r="255">
      <c r="H255" s="7" t="n"/>
      <c r="I255" s="7" t="n"/>
      <c r="J255" s="7" t="n"/>
      <c r="K255" s="7" t="n"/>
      <c r="M255" s="8" t="n"/>
      <c r="P255" s="9" t="n"/>
      <c r="Q255" s="10" t="n"/>
      <c r="R255" s="10" t="n"/>
      <c r="S255" s="11" t="n"/>
      <c r="U255" s="12">
        <f>IF(OR(H255="",I255=""),"",ROUND(Settings!$B$4/ABS(H255-I255),2))</f>
        <v/>
      </c>
      <c r="V255" s="13">
        <f>IF(M255="","",ROUND(M255*Settings!$B$4,2))</f>
        <v/>
      </c>
      <c r="W255" s="12">
        <f>IF(M255="","",SUM($M$2:M255))</f>
        <v/>
      </c>
      <c r="X255" s="12">
        <f>IF(M255="","",MAX(0,N(X254),W255))</f>
        <v/>
      </c>
      <c r="Y255" s="12">
        <f>IF(M255="","",X255-W255)</f>
        <v/>
      </c>
      <c r="Z255" s="12">
        <f>IF(M255="","",IF(M255&lt;0,N(Z254)+1,0))</f>
        <v/>
      </c>
    </row>
    <row r="256">
      <c r="H256" s="7" t="n"/>
      <c r="I256" s="7" t="n"/>
      <c r="J256" s="7" t="n"/>
      <c r="K256" s="7" t="n"/>
      <c r="M256" s="8" t="n"/>
      <c r="P256" s="9" t="n"/>
      <c r="Q256" s="10" t="n"/>
      <c r="R256" s="10" t="n"/>
      <c r="S256" s="11" t="n"/>
      <c r="U256" s="12">
        <f>IF(OR(H256="",I256=""),"",ROUND(Settings!$B$4/ABS(H256-I256),2))</f>
        <v/>
      </c>
      <c r="V256" s="13">
        <f>IF(M256="","",ROUND(M256*Settings!$B$4,2))</f>
        <v/>
      </c>
      <c r="W256" s="12">
        <f>IF(M256="","",SUM($M$2:M256))</f>
        <v/>
      </c>
      <c r="X256" s="12">
        <f>IF(M256="","",MAX(0,N(X255),W256))</f>
        <v/>
      </c>
      <c r="Y256" s="12">
        <f>IF(M256="","",X256-W256)</f>
        <v/>
      </c>
      <c r="Z256" s="12">
        <f>IF(M256="","",IF(M256&lt;0,N(Z255)+1,0))</f>
        <v/>
      </c>
    </row>
    <row r="257">
      <c r="H257" s="7" t="n"/>
      <c r="I257" s="7" t="n"/>
      <c r="J257" s="7" t="n"/>
      <c r="K257" s="7" t="n"/>
      <c r="M257" s="8" t="n"/>
      <c r="P257" s="9" t="n"/>
      <c r="Q257" s="10" t="n"/>
      <c r="R257" s="10" t="n"/>
      <c r="S257" s="11" t="n"/>
      <c r="U257" s="12">
        <f>IF(OR(H257="",I257=""),"",ROUND(Settings!$B$4/ABS(H257-I257),2))</f>
        <v/>
      </c>
      <c r="V257" s="13">
        <f>IF(M257="","",ROUND(M257*Settings!$B$4,2))</f>
        <v/>
      </c>
      <c r="W257" s="12">
        <f>IF(M257="","",SUM($M$2:M257))</f>
        <v/>
      </c>
      <c r="X257" s="12">
        <f>IF(M257="","",MAX(0,N(X256),W257))</f>
        <v/>
      </c>
      <c r="Y257" s="12">
        <f>IF(M257="","",X257-W257)</f>
        <v/>
      </c>
      <c r="Z257" s="12">
        <f>IF(M257="","",IF(M257&lt;0,N(Z256)+1,0))</f>
        <v/>
      </c>
    </row>
    <row r="258">
      <c r="H258" s="7" t="n"/>
      <c r="I258" s="7" t="n"/>
      <c r="J258" s="7" t="n"/>
      <c r="K258" s="7" t="n"/>
      <c r="M258" s="8" t="n"/>
      <c r="P258" s="9" t="n"/>
      <c r="Q258" s="10" t="n"/>
      <c r="R258" s="10" t="n"/>
      <c r="S258" s="11" t="n"/>
      <c r="U258" s="12">
        <f>IF(OR(H258="",I258=""),"",ROUND(Settings!$B$4/ABS(H258-I258),2))</f>
        <v/>
      </c>
      <c r="V258" s="13">
        <f>IF(M258="","",ROUND(M258*Settings!$B$4,2))</f>
        <v/>
      </c>
      <c r="W258" s="12">
        <f>IF(M258="","",SUM($M$2:M258))</f>
        <v/>
      </c>
      <c r="X258" s="12">
        <f>IF(M258="","",MAX(0,N(X257),W258))</f>
        <v/>
      </c>
      <c r="Y258" s="12">
        <f>IF(M258="","",X258-W258)</f>
        <v/>
      </c>
      <c r="Z258" s="12">
        <f>IF(M258="","",IF(M258&lt;0,N(Z257)+1,0))</f>
        <v/>
      </c>
    </row>
    <row r="259">
      <c r="H259" s="7" t="n"/>
      <c r="I259" s="7" t="n"/>
      <c r="J259" s="7" t="n"/>
      <c r="K259" s="7" t="n"/>
      <c r="M259" s="8" t="n"/>
      <c r="P259" s="9" t="n"/>
      <c r="Q259" s="10" t="n"/>
      <c r="R259" s="10" t="n"/>
      <c r="S259" s="11" t="n"/>
      <c r="U259" s="12">
        <f>IF(OR(H259="",I259=""),"",ROUND(Settings!$B$4/ABS(H259-I259),2))</f>
        <v/>
      </c>
      <c r="V259" s="13">
        <f>IF(M259="","",ROUND(M259*Settings!$B$4,2))</f>
        <v/>
      </c>
      <c r="W259" s="12">
        <f>IF(M259="","",SUM($M$2:M259))</f>
        <v/>
      </c>
      <c r="X259" s="12">
        <f>IF(M259="","",MAX(0,N(X258),W259))</f>
        <v/>
      </c>
      <c r="Y259" s="12">
        <f>IF(M259="","",X259-W259)</f>
        <v/>
      </c>
      <c r="Z259" s="12">
        <f>IF(M259="","",IF(M259&lt;0,N(Z258)+1,0))</f>
        <v/>
      </c>
    </row>
    <row r="260">
      <c r="H260" s="7" t="n"/>
      <c r="I260" s="7" t="n"/>
      <c r="J260" s="7" t="n"/>
      <c r="K260" s="7" t="n"/>
      <c r="M260" s="8" t="n"/>
      <c r="P260" s="9" t="n"/>
      <c r="Q260" s="10" t="n"/>
      <c r="R260" s="10" t="n"/>
      <c r="S260" s="11" t="n"/>
      <c r="U260" s="12">
        <f>IF(OR(H260="",I260=""),"",ROUND(Settings!$B$4/ABS(H260-I260),2))</f>
        <v/>
      </c>
      <c r="V260" s="13">
        <f>IF(M260="","",ROUND(M260*Settings!$B$4,2))</f>
        <v/>
      </c>
      <c r="W260" s="12">
        <f>IF(M260="","",SUM($M$2:M260))</f>
        <v/>
      </c>
      <c r="X260" s="12">
        <f>IF(M260="","",MAX(0,N(X259),W260))</f>
        <v/>
      </c>
      <c r="Y260" s="12">
        <f>IF(M260="","",X260-W260)</f>
        <v/>
      </c>
      <c r="Z260" s="12">
        <f>IF(M260="","",IF(M260&lt;0,N(Z259)+1,0))</f>
        <v/>
      </c>
    </row>
    <row r="261">
      <c r="H261" s="7" t="n"/>
      <c r="I261" s="7" t="n"/>
      <c r="J261" s="7" t="n"/>
      <c r="K261" s="7" t="n"/>
      <c r="M261" s="8" t="n"/>
      <c r="P261" s="9" t="n"/>
      <c r="Q261" s="10" t="n"/>
      <c r="R261" s="10" t="n"/>
      <c r="S261" s="11" t="n"/>
      <c r="U261" s="12">
        <f>IF(OR(H261="",I261=""),"",ROUND(Settings!$B$4/ABS(H261-I261),2))</f>
        <v/>
      </c>
      <c r="V261" s="13">
        <f>IF(M261="","",ROUND(M261*Settings!$B$4,2))</f>
        <v/>
      </c>
      <c r="W261" s="12">
        <f>IF(M261="","",SUM($M$2:M261))</f>
        <v/>
      </c>
      <c r="X261" s="12">
        <f>IF(M261="","",MAX(0,N(X260),W261))</f>
        <v/>
      </c>
      <c r="Y261" s="12">
        <f>IF(M261="","",X261-W261)</f>
        <v/>
      </c>
      <c r="Z261" s="12">
        <f>IF(M261="","",IF(M261&lt;0,N(Z260)+1,0))</f>
        <v/>
      </c>
    </row>
    <row r="262">
      <c r="H262" s="7" t="n"/>
      <c r="I262" s="7" t="n"/>
      <c r="J262" s="7" t="n"/>
      <c r="K262" s="7" t="n"/>
      <c r="M262" s="8" t="n"/>
      <c r="P262" s="9" t="n"/>
      <c r="Q262" s="10" t="n"/>
      <c r="R262" s="10" t="n"/>
      <c r="S262" s="11" t="n"/>
      <c r="U262" s="12">
        <f>IF(OR(H262="",I262=""),"",ROUND(Settings!$B$4/ABS(H262-I262),2))</f>
        <v/>
      </c>
      <c r="V262" s="13">
        <f>IF(M262="","",ROUND(M262*Settings!$B$4,2))</f>
        <v/>
      </c>
      <c r="W262" s="12">
        <f>IF(M262="","",SUM($M$2:M262))</f>
        <v/>
      </c>
      <c r="X262" s="12">
        <f>IF(M262="","",MAX(0,N(X261),W262))</f>
        <v/>
      </c>
      <c r="Y262" s="12">
        <f>IF(M262="","",X262-W262)</f>
        <v/>
      </c>
      <c r="Z262" s="12">
        <f>IF(M262="","",IF(M262&lt;0,N(Z261)+1,0))</f>
        <v/>
      </c>
    </row>
    <row r="263">
      <c r="H263" s="7" t="n"/>
      <c r="I263" s="7" t="n"/>
      <c r="J263" s="7" t="n"/>
      <c r="K263" s="7" t="n"/>
      <c r="M263" s="8" t="n"/>
      <c r="P263" s="9" t="n"/>
      <c r="Q263" s="10" t="n"/>
      <c r="R263" s="10" t="n"/>
      <c r="S263" s="11" t="n"/>
      <c r="U263" s="12">
        <f>IF(OR(H263="",I263=""),"",ROUND(Settings!$B$4/ABS(H263-I263),2))</f>
        <v/>
      </c>
      <c r="V263" s="13">
        <f>IF(M263="","",ROUND(M263*Settings!$B$4,2))</f>
        <v/>
      </c>
      <c r="W263" s="12">
        <f>IF(M263="","",SUM($M$2:M263))</f>
        <v/>
      </c>
      <c r="X263" s="12">
        <f>IF(M263="","",MAX(0,N(X262),W263))</f>
        <v/>
      </c>
      <c r="Y263" s="12">
        <f>IF(M263="","",X263-W263)</f>
        <v/>
      </c>
      <c r="Z263" s="12">
        <f>IF(M263="","",IF(M263&lt;0,N(Z262)+1,0))</f>
        <v/>
      </c>
    </row>
    <row r="264">
      <c r="H264" s="7" t="n"/>
      <c r="I264" s="7" t="n"/>
      <c r="J264" s="7" t="n"/>
      <c r="K264" s="7" t="n"/>
      <c r="M264" s="8" t="n"/>
      <c r="P264" s="9" t="n"/>
      <c r="Q264" s="10" t="n"/>
      <c r="R264" s="10" t="n"/>
      <c r="S264" s="11" t="n"/>
      <c r="U264" s="12">
        <f>IF(OR(H264="",I264=""),"",ROUND(Settings!$B$4/ABS(H264-I264),2))</f>
        <v/>
      </c>
      <c r="V264" s="13">
        <f>IF(M264="","",ROUND(M264*Settings!$B$4,2))</f>
        <v/>
      </c>
      <c r="W264" s="12">
        <f>IF(M264="","",SUM($M$2:M264))</f>
        <v/>
      </c>
      <c r="X264" s="12">
        <f>IF(M264="","",MAX(0,N(X263),W264))</f>
        <v/>
      </c>
      <c r="Y264" s="12">
        <f>IF(M264="","",X264-W264)</f>
        <v/>
      </c>
      <c r="Z264" s="12">
        <f>IF(M264="","",IF(M264&lt;0,N(Z263)+1,0))</f>
        <v/>
      </c>
    </row>
    <row r="265">
      <c r="H265" s="7" t="n"/>
      <c r="I265" s="7" t="n"/>
      <c r="J265" s="7" t="n"/>
      <c r="K265" s="7" t="n"/>
      <c r="M265" s="8" t="n"/>
      <c r="P265" s="9" t="n"/>
      <c r="Q265" s="10" t="n"/>
      <c r="R265" s="10" t="n"/>
      <c r="S265" s="11" t="n"/>
      <c r="U265" s="12">
        <f>IF(OR(H265="",I265=""),"",ROUND(Settings!$B$4/ABS(H265-I265),2))</f>
        <v/>
      </c>
      <c r="V265" s="13">
        <f>IF(M265="","",ROUND(M265*Settings!$B$4,2))</f>
        <v/>
      </c>
      <c r="W265" s="12">
        <f>IF(M265="","",SUM($M$2:M265))</f>
        <v/>
      </c>
      <c r="X265" s="12">
        <f>IF(M265="","",MAX(0,N(X264),W265))</f>
        <v/>
      </c>
      <c r="Y265" s="12">
        <f>IF(M265="","",X265-W265)</f>
        <v/>
      </c>
      <c r="Z265" s="12">
        <f>IF(M265="","",IF(M265&lt;0,N(Z264)+1,0))</f>
        <v/>
      </c>
    </row>
    <row r="266">
      <c r="H266" s="7" t="n"/>
      <c r="I266" s="7" t="n"/>
      <c r="J266" s="7" t="n"/>
      <c r="K266" s="7" t="n"/>
      <c r="M266" s="8" t="n"/>
      <c r="P266" s="9" t="n"/>
      <c r="Q266" s="10" t="n"/>
      <c r="R266" s="10" t="n"/>
      <c r="S266" s="11" t="n"/>
      <c r="U266" s="12">
        <f>IF(OR(H266="",I266=""),"",ROUND(Settings!$B$4/ABS(H266-I266),2))</f>
        <v/>
      </c>
      <c r="V266" s="13">
        <f>IF(M266="","",ROUND(M266*Settings!$B$4,2))</f>
        <v/>
      </c>
      <c r="W266" s="12">
        <f>IF(M266="","",SUM($M$2:M266))</f>
        <v/>
      </c>
      <c r="X266" s="12">
        <f>IF(M266="","",MAX(0,N(X265),W266))</f>
        <v/>
      </c>
      <c r="Y266" s="12">
        <f>IF(M266="","",X266-W266)</f>
        <v/>
      </c>
      <c r="Z266" s="12">
        <f>IF(M266="","",IF(M266&lt;0,N(Z265)+1,0))</f>
        <v/>
      </c>
    </row>
    <row r="267">
      <c r="H267" s="7" t="n"/>
      <c r="I267" s="7" t="n"/>
      <c r="J267" s="7" t="n"/>
      <c r="K267" s="7" t="n"/>
      <c r="M267" s="8" t="n"/>
      <c r="P267" s="9" t="n"/>
      <c r="Q267" s="10" t="n"/>
      <c r="R267" s="10" t="n"/>
      <c r="S267" s="11" t="n"/>
      <c r="U267" s="12">
        <f>IF(OR(H267="",I267=""),"",ROUND(Settings!$B$4/ABS(H267-I267),2))</f>
        <v/>
      </c>
      <c r="V267" s="13">
        <f>IF(M267="","",ROUND(M267*Settings!$B$4,2))</f>
        <v/>
      </c>
      <c r="W267" s="12">
        <f>IF(M267="","",SUM($M$2:M267))</f>
        <v/>
      </c>
      <c r="X267" s="12">
        <f>IF(M267="","",MAX(0,N(X266),W267))</f>
        <v/>
      </c>
      <c r="Y267" s="12">
        <f>IF(M267="","",X267-W267)</f>
        <v/>
      </c>
      <c r="Z267" s="12">
        <f>IF(M267="","",IF(M267&lt;0,N(Z266)+1,0))</f>
        <v/>
      </c>
    </row>
    <row r="268">
      <c r="H268" s="7" t="n"/>
      <c r="I268" s="7" t="n"/>
      <c r="J268" s="7" t="n"/>
      <c r="K268" s="7" t="n"/>
      <c r="M268" s="8" t="n"/>
      <c r="P268" s="9" t="n"/>
      <c r="Q268" s="10" t="n"/>
      <c r="R268" s="10" t="n"/>
      <c r="S268" s="11" t="n"/>
      <c r="U268" s="12">
        <f>IF(OR(H268="",I268=""),"",ROUND(Settings!$B$4/ABS(H268-I268),2))</f>
        <v/>
      </c>
      <c r="V268" s="13">
        <f>IF(M268="","",ROUND(M268*Settings!$B$4,2))</f>
        <v/>
      </c>
      <c r="W268" s="12">
        <f>IF(M268="","",SUM($M$2:M268))</f>
        <v/>
      </c>
      <c r="X268" s="12">
        <f>IF(M268="","",MAX(0,N(X267),W268))</f>
        <v/>
      </c>
      <c r="Y268" s="12">
        <f>IF(M268="","",X268-W268)</f>
        <v/>
      </c>
      <c r="Z268" s="12">
        <f>IF(M268="","",IF(M268&lt;0,N(Z267)+1,0))</f>
        <v/>
      </c>
    </row>
    <row r="269">
      <c r="H269" s="7" t="n"/>
      <c r="I269" s="7" t="n"/>
      <c r="J269" s="7" t="n"/>
      <c r="K269" s="7" t="n"/>
      <c r="M269" s="8" t="n"/>
      <c r="P269" s="9" t="n"/>
      <c r="Q269" s="10" t="n"/>
      <c r="R269" s="10" t="n"/>
      <c r="S269" s="11" t="n"/>
      <c r="U269" s="12">
        <f>IF(OR(H269="",I269=""),"",ROUND(Settings!$B$4/ABS(H269-I269),2))</f>
        <v/>
      </c>
      <c r="V269" s="13">
        <f>IF(M269="","",ROUND(M269*Settings!$B$4,2))</f>
        <v/>
      </c>
      <c r="W269" s="12">
        <f>IF(M269="","",SUM($M$2:M269))</f>
        <v/>
      </c>
      <c r="X269" s="12">
        <f>IF(M269="","",MAX(0,N(X268),W269))</f>
        <v/>
      </c>
      <c r="Y269" s="12">
        <f>IF(M269="","",X269-W269)</f>
        <v/>
      </c>
      <c r="Z269" s="12">
        <f>IF(M269="","",IF(M269&lt;0,N(Z268)+1,0))</f>
        <v/>
      </c>
    </row>
    <row r="270">
      <c r="H270" s="7" t="n"/>
      <c r="I270" s="7" t="n"/>
      <c r="J270" s="7" t="n"/>
      <c r="K270" s="7" t="n"/>
      <c r="M270" s="8" t="n"/>
      <c r="P270" s="9" t="n"/>
      <c r="Q270" s="10" t="n"/>
      <c r="R270" s="10" t="n"/>
      <c r="S270" s="11" t="n"/>
      <c r="U270" s="12">
        <f>IF(OR(H270="",I270=""),"",ROUND(Settings!$B$4/ABS(H270-I270),2))</f>
        <v/>
      </c>
      <c r="V270" s="13">
        <f>IF(M270="","",ROUND(M270*Settings!$B$4,2))</f>
        <v/>
      </c>
      <c r="W270" s="12">
        <f>IF(M270="","",SUM($M$2:M270))</f>
        <v/>
      </c>
      <c r="X270" s="12">
        <f>IF(M270="","",MAX(0,N(X269),W270))</f>
        <v/>
      </c>
      <c r="Y270" s="12">
        <f>IF(M270="","",X270-W270)</f>
        <v/>
      </c>
      <c r="Z270" s="12">
        <f>IF(M270="","",IF(M270&lt;0,N(Z269)+1,0))</f>
        <v/>
      </c>
    </row>
    <row r="271">
      <c r="H271" s="7" t="n"/>
      <c r="I271" s="7" t="n"/>
      <c r="J271" s="7" t="n"/>
      <c r="K271" s="7" t="n"/>
      <c r="M271" s="8" t="n"/>
      <c r="P271" s="9" t="n"/>
      <c r="Q271" s="10" t="n"/>
      <c r="R271" s="10" t="n"/>
      <c r="S271" s="11" t="n"/>
      <c r="U271" s="12">
        <f>IF(OR(H271="",I271=""),"",ROUND(Settings!$B$4/ABS(H271-I271),2))</f>
        <v/>
      </c>
      <c r="V271" s="13">
        <f>IF(M271="","",ROUND(M271*Settings!$B$4,2))</f>
        <v/>
      </c>
      <c r="W271" s="12">
        <f>IF(M271="","",SUM($M$2:M271))</f>
        <v/>
      </c>
      <c r="X271" s="12">
        <f>IF(M271="","",MAX(0,N(X270),W271))</f>
        <v/>
      </c>
      <c r="Y271" s="12">
        <f>IF(M271="","",X271-W271)</f>
        <v/>
      </c>
      <c r="Z271" s="12">
        <f>IF(M271="","",IF(M271&lt;0,N(Z270)+1,0))</f>
        <v/>
      </c>
    </row>
    <row r="272">
      <c r="H272" s="7" t="n"/>
      <c r="I272" s="7" t="n"/>
      <c r="J272" s="7" t="n"/>
      <c r="K272" s="7" t="n"/>
      <c r="M272" s="8" t="n"/>
      <c r="P272" s="9" t="n"/>
      <c r="Q272" s="10" t="n"/>
      <c r="R272" s="10" t="n"/>
      <c r="S272" s="11" t="n"/>
      <c r="U272" s="12">
        <f>IF(OR(H272="",I272=""),"",ROUND(Settings!$B$4/ABS(H272-I272),2))</f>
        <v/>
      </c>
      <c r="V272" s="13">
        <f>IF(M272="","",ROUND(M272*Settings!$B$4,2))</f>
        <v/>
      </c>
      <c r="W272" s="12">
        <f>IF(M272="","",SUM($M$2:M272))</f>
        <v/>
      </c>
      <c r="X272" s="12">
        <f>IF(M272="","",MAX(0,N(X271),W272))</f>
        <v/>
      </c>
      <c r="Y272" s="12">
        <f>IF(M272="","",X272-W272)</f>
        <v/>
      </c>
      <c r="Z272" s="12">
        <f>IF(M272="","",IF(M272&lt;0,N(Z271)+1,0))</f>
        <v/>
      </c>
    </row>
    <row r="273">
      <c r="H273" s="7" t="n"/>
      <c r="I273" s="7" t="n"/>
      <c r="J273" s="7" t="n"/>
      <c r="K273" s="7" t="n"/>
      <c r="M273" s="8" t="n"/>
      <c r="P273" s="9" t="n"/>
      <c r="Q273" s="10" t="n"/>
      <c r="R273" s="10" t="n"/>
      <c r="S273" s="11" t="n"/>
      <c r="U273" s="12">
        <f>IF(OR(H273="",I273=""),"",ROUND(Settings!$B$4/ABS(H273-I273),2))</f>
        <v/>
      </c>
      <c r="V273" s="13">
        <f>IF(M273="","",ROUND(M273*Settings!$B$4,2))</f>
        <v/>
      </c>
      <c r="W273" s="12">
        <f>IF(M273="","",SUM($M$2:M273))</f>
        <v/>
      </c>
      <c r="X273" s="12">
        <f>IF(M273="","",MAX(0,N(X272),W273))</f>
        <v/>
      </c>
      <c r="Y273" s="12">
        <f>IF(M273="","",X273-W273)</f>
        <v/>
      </c>
      <c r="Z273" s="12">
        <f>IF(M273="","",IF(M273&lt;0,N(Z272)+1,0))</f>
        <v/>
      </c>
    </row>
    <row r="274">
      <c r="H274" s="7" t="n"/>
      <c r="I274" s="7" t="n"/>
      <c r="J274" s="7" t="n"/>
      <c r="K274" s="7" t="n"/>
      <c r="M274" s="8" t="n"/>
      <c r="P274" s="9" t="n"/>
      <c r="Q274" s="10" t="n"/>
      <c r="R274" s="10" t="n"/>
      <c r="S274" s="11" t="n"/>
      <c r="U274" s="12">
        <f>IF(OR(H274="",I274=""),"",ROUND(Settings!$B$4/ABS(H274-I274),2))</f>
        <v/>
      </c>
      <c r="V274" s="13">
        <f>IF(M274="","",ROUND(M274*Settings!$B$4,2))</f>
        <v/>
      </c>
      <c r="W274" s="12">
        <f>IF(M274="","",SUM($M$2:M274))</f>
        <v/>
      </c>
      <c r="X274" s="12">
        <f>IF(M274="","",MAX(0,N(X273),W274))</f>
        <v/>
      </c>
      <c r="Y274" s="12">
        <f>IF(M274="","",X274-W274)</f>
        <v/>
      </c>
      <c r="Z274" s="12">
        <f>IF(M274="","",IF(M274&lt;0,N(Z273)+1,0))</f>
        <v/>
      </c>
    </row>
    <row r="275">
      <c r="H275" s="7" t="n"/>
      <c r="I275" s="7" t="n"/>
      <c r="J275" s="7" t="n"/>
      <c r="K275" s="7" t="n"/>
      <c r="M275" s="8" t="n"/>
      <c r="P275" s="9" t="n"/>
      <c r="Q275" s="10" t="n"/>
      <c r="R275" s="10" t="n"/>
      <c r="S275" s="11" t="n"/>
      <c r="U275" s="12">
        <f>IF(OR(H275="",I275=""),"",ROUND(Settings!$B$4/ABS(H275-I275),2))</f>
        <v/>
      </c>
      <c r="V275" s="13">
        <f>IF(M275="","",ROUND(M275*Settings!$B$4,2))</f>
        <v/>
      </c>
      <c r="W275" s="12">
        <f>IF(M275="","",SUM($M$2:M275))</f>
        <v/>
      </c>
      <c r="X275" s="12">
        <f>IF(M275="","",MAX(0,N(X274),W275))</f>
        <v/>
      </c>
      <c r="Y275" s="12">
        <f>IF(M275="","",X275-W275)</f>
        <v/>
      </c>
      <c r="Z275" s="12">
        <f>IF(M275="","",IF(M275&lt;0,N(Z274)+1,0))</f>
        <v/>
      </c>
    </row>
    <row r="276">
      <c r="H276" s="7" t="n"/>
      <c r="I276" s="7" t="n"/>
      <c r="J276" s="7" t="n"/>
      <c r="K276" s="7" t="n"/>
      <c r="M276" s="8" t="n"/>
      <c r="P276" s="9" t="n"/>
      <c r="Q276" s="10" t="n"/>
      <c r="R276" s="10" t="n"/>
      <c r="S276" s="11" t="n"/>
      <c r="U276" s="12">
        <f>IF(OR(H276="",I276=""),"",ROUND(Settings!$B$4/ABS(H276-I276),2))</f>
        <v/>
      </c>
      <c r="V276" s="13">
        <f>IF(M276="","",ROUND(M276*Settings!$B$4,2))</f>
        <v/>
      </c>
      <c r="W276" s="12">
        <f>IF(M276="","",SUM($M$2:M276))</f>
        <v/>
      </c>
      <c r="X276" s="12">
        <f>IF(M276="","",MAX(0,N(X275),W276))</f>
        <v/>
      </c>
      <c r="Y276" s="12">
        <f>IF(M276="","",X276-W276)</f>
        <v/>
      </c>
      <c r="Z276" s="12">
        <f>IF(M276="","",IF(M276&lt;0,N(Z275)+1,0))</f>
        <v/>
      </c>
    </row>
    <row r="277">
      <c r="H277" s="7" t="n"/>
      <c r="I277" s="7" t="n"/>
      <c r="J277" s="7" t="n"/>
      <c r="K277" s="7" t="n"/>
      <c r="M277" s="8" t="n"/>
      <c r="P277" s="9" t="n"/>
      <c r="Q277" s="10" t="n"/>
      <c r="R277" s="10" t="n"/>
      <c r="S277" s="11" t="n"/>
      <c r="U277" s="12">
        <f>IF(OR(H277="",I277=""),"",ROUND(Settings!$B$4/ABS(H277-I277),2))</f>
        <v/>
      </c>
      <c r="V277" s="13">
        <f>IF(M277="","",ROUND(M277*Settings!$B$4,2))</f>
        <v/>
      </c>
      <c r="W277" s="12">
        <f>IF(M277="","",SUM($M$2:M277))</f>
        <v/>
      </c>
      <c r="X277" s="12">
        <f>IF(M277="","",MAX(0,N(X276),W277))</f>
        <v/>
      </c>
      <c r="Y277" s="12">
        <f>IF(M277="","",X277-W277)</f>
        <v/>
      </c>
      <c r="Z277" s="12">
        <f>IF(M277="","",IF(M277&lt;0,N(Z276)+1,0))</f>
        <v/>
      </c>
    </row>
    <row r="278">
      <c r="H278" s="7" t="n"/>
      <c r="I278" s="7" t="n"/>
      <c r="J278" s="7" t="n"/>
      <c r="K278" s="7" t="n"/>
      <c r="M278" s="8" t="n"/>
      <c r="P278" s="9" t="n"/>
      <c r="Q278" s="10" t="n"/>
      <c r="R278" s="10" t="n"/>
      <c r="S278" s="11" t="n"/>
      <c r="U278" s="12">
        <f>IF(OR(H278="",I278=""),"",ROUND(Settings!$B$4/ABS(H278-I278),2))</f>
        <v/>
      </c>
      <c r="V278" s="13">
        <f>IF(M278="","",ROUND(M278*Settings!$B$4,2))</f>
        <v/>
      </c>
      <c r="W278" s="12">
        <f>IF(M278="","",SUM($M$2:M278))</f>
        <v/>
      </c>
      <c r="X278" s="12">
        <f>IF(M278="","",MAX(0,N(X277),W278))</f>
        <v/>
      </c>
      <c r="Y278" s="12">
        <f>IF(M278="","",X278-W278)</f>
        <v/>
      </c>
      <c r="Z278" s="12">
        <f>IF(M278="","",IF(M278&lt;0,N(Z277)+1,0))</f>
        <v/>
      </c>
    </row>
    <row r="279">
      <c r="H279" s="7" t="n"/>
      <c r="I279" s="7" t="n"/>
      <c r="J279" s="7" t="n"/>
      <c r="K279" s="7" t="n"/>
      <c r="M279" s="8" t="n"/>
      <c r="P279" s="9" t="n"/>
      <c r="Q279" s="10" t="n"/>
      <c r="R279" s="10" t="n"/>
      <c r="S279" s="11" t="n"/>
      <c r="U279" s="12">
        <f>IF(OR(H279="",I279=""),"",ROUND(Settings!$B$4/ABS(H279-I279),2))</f>
        <v/>
      </c>
      <c r="V279" s="13">
        <f>IF(M279="","",ROUND(M279*Settings!$B$4,2))</f>
        <v/>
      </c>
      <c r="W279" s="12">
        <f>IF(M279="","",SUM($M$2:M279))</f>
        <v/>
      </c>
      <c r="X279" s="12">
        <f>IF(M279="","",MAX(0,N(X278),W279))</f>
        <v/>
      </c>
      <c r="Y279" s="12">
        <f>IF(M279="","",X279-W279)</f>
        <v/>
      </c>
      <c r="Z279" s="12">
        <f>IF(M279="","",IF(M279&lt;0,N(Z278)+1,0))</f>
        <v/>
      </c>
    </row>
    <row r="280">
      <c r="H280" s="7" t="n"/>
      <c r="I280" s="7" t="n"/>
      <c r="J280" s="7" t="n"/>
      <c r="K280" s="7" t="n"/>
      <c r="M280" s="8" t="n"/>
      <c r="P280" s="9" t="n"/>
      <c r="Q280" s="10" t="n"/>
      <c r="R280" s="10" t="n"/>
      <c r="S280" s="11" t="n"/>
      <c r="U280" s="12">
        <f>IF(OR(H280="",I280=""),"",ROUND(Settings!$B$4/ABS(H280-I280),2))</f>
        <v/>
      </c>
      <c r="V280" s="13">
        <f>IF(M280="","",ROUND(M280*Settings!$B$4,2))</f>
        <v/>
      </c>
      <c r="W280" s="12">
        <f>IF(M280="","",SUM($M$2:M280))</f>
        <v/>
      </c>
      <c r="X280" s="12">
        <f>IF(M280="","",MAX(0,N(X279),W280))</f>
        <v/>
      </c>
      <c r="Y280" s="12">
        <f>IF(M280="","",X280-W280)</f>
        <v/>
      </c>
      <c r="Z280" s="12">
        <f>IF(M280="","",IF(M280&lt;0,N(Z279)+1,0))</f>
        <v/>
      </c>
    </row>
    <row r="281">
      <c r="H281" s="7" t="n"/>
      <c r="I281" s="7" t="n"/>
      <c r="J281" s="7" t="n"/>
      <c r="K281" s="7" t="n"/>
      <c r="M281" s="8" t="n"/>
      <c r="P281" s="9" t="n"/>
      <c r="Q281" s="10" t="n"/>
      <c r="R281" s="10" t="n"/>
      <c r="S281" s="11" t="n"/>
      <c r="U281" s="12">
        <f>IF(OR(H281="",I281=""),"",ROUND(Settings!$B$4/ABS(H281-I281),2))</f>
        <v/>
      </c>
      <c r="V281" s="13">
        <f>IF(M281="","",ROUND(M281*Settings!$B$4,2))</f>
        <v/>
      </c>
      <c r="W281" s="12">
        <f>IF(M281="","",SUM($M$2:M281))</f>
        <v/>
      </c>
      <c r="X281" s="12">
        <f>IF(M281="","",MAX(0,N(X280),W281))</f>
        <v/>
      </c>
      <c r="Y281" s="12">
        <f>IF(M281="","",X281-W281)</f>
        <v/>
      </c>
      <c r="Z281" s="12">
        <f>IF(M281="","",IF(M281&lt;0,N(Z280)+1,0))</f>
        <v/>
      </c>
    </row>
    <row r="282">
      <c r="H282" s="7" t="n"/>
      <c r="I282" s="7" t="n"/>
      <c r="J282" s="7" t="n"/>
      <c r="K282" s="7" t="n"/>
      <c r="M282" s="8" t="n"/>
      <c r="P282" s="9" t="n"/>
      <c r="Q282" s="10" t="n"/>
      <c r="R282" s="10" t="n"/>
      <c r="S282" s="11" t="n"/>
      <c r="U282" s="12">
        <f>IF(OR(H282="",I282=""),"",ROUND(Settings!$B$4/ABS(H282-I282),2))</f>
        <v/>
      </c>
      <c r="V282" s="13">
        <f>IF(M282="","",ROUND(M282*Settings!$B$4,2))</f>
        <v/>
      </c>
      <c r="W282" s="12">
        <f>IF(M282="","",SUM($M$2:M282))</f>
        <v/>
      </c>
      <c r="X282" s="12">
        <f>IF(M282="","",MAX(0,N(X281),W282))</f>
        <v/>
      </c>
      <c r="Y282" s="12">
        <f>IF(M282="","",X282-W282)</f>
        <v/>
      </c>
      <c r="Z282" s="12">
        <f>IF(M282="","",IF(M282&lt;0,N(Z281)+1,0))</f>
        <v/>
      </c>
    </row>
    <row r="283">
      <c r="H283" s="7" t="n"/>
      <c r="I283" s="7" t="n"/>
      <c r="J283" s="7" t="n"/>
      <c r="K283" s="7" t="n"/>
      <c r="M283" s="8" t="n"/>
      <c r="P283" s="9" t="n"/>
      <c r="Q283" s="10" t="n"/>
      <c r="R283" s="10" t="n"/>
      <c r="S283" s="11" t="n"/>
      <c r="U283" s="12">
        <f>IF(OR(H283="",I283=""),"",ROUND(Settings!$B$4/ABS(H283-I283),2))</f>
        <v/>
      </c>
      <c r="V283" s="13">
        <f>IF(M283="","",ROUND(M283*Settings!$B$4,2))</f>
        <v/>
      </c>
      <c r="W283" s="12">
        <f>IF(M283="","",SUM($M$2:M283))</f>
        <v/>
      </c>
      <c r="X283" s="12">
        <f>IF(M283="","",MAX(0,N(X282),W283))</f>
        <v/>
      </c>
      <c r="Y283" s="12">
        <f>IF(M283="","",X283-W283)</f>
        <v/>
      </c>
      <c r="Z283" s="12">
        <f>IF(M283="","",IF(M283&lt;0,N(Z282)+1,0))</f>
        <v/>
      </c>
    </row>
    <row r="284">
      <c r="H284" s="7" t="n"/>
      <c r="I284" s="7" t="n"/>
      <c r="J284" s="7" t="n"/>
      <c r="K284" s="7" t="n"/>
      <c r="M284" s="8" t="n"/>
      <c r="P284" s="9" t="n"/>
      <c r="Q284" s="10" t="n"/>
      <c r="R284" s="10" t="n"/>
      <c r="S284" s="11" t="n"/>
      <c r="U284" s="12">
        <f>IF(OR(H284="",I284=""),"",ROUND(Settings!$B$4/ABS(H284-I284),2))</f>
        <v/>
      </c>
      <c r="V284" s="13">
        <f>IF(M284="","",ROUND(M284*Settings!$B$4,2))</f>
        <v/>
      </c>
      <c r="W284" s="12">
        <f>IF(M284="","",SUM($M$2:M284))</f>
        <v/>
      </c>
      <c r="X284" s="12">
        <f>IF(M284="","",MAX(0,N(X283),W284))</f>
        <v/>
      </c>
      <c r="Y284" s="12">
        <f>IF(M284="","",X284-W284)</f>
        <v/>
      </c>
      <c r="Z284" s="12">
        <f>IF(M284="","",IF(M284&lt;0,N(Z283)+1,0))</f>
        <v/>
      </c>
    </row>
    <row r="285">
      <c r="H285" s="7" t="n"/>
      <c r="I285" s="7" t="n"/>
      <c r="J285" s="7" t="n"/>
      <c r="K285" s="7" t="n"/>
      <c r="M285" s="8" t="n"/>
      <c r="P285" s="9" t="n"/>
      <c r="Q285" s="10" t="n"/>
      <c r="R285" s="10" t="n"/>
      <c r="S285" s="11" t="n"/>
      <c r="U285" s="12">
        <f>IF(OR(H285="",I285=""),"",ROUND(Settings!$B$4/ABS(H285-I285),2))</f>
        <v/>
      </c>
      <c r="V285" s="13">
        <f>IF(M285="","",ROUND(M285*Settings!$B$4,2))</f>
        <v/>
      </c>
      <c r="W285" s="12">
        <f>IF(M285="","",SUM($M$2:M285))</f>
        <v/>
      </c>
      <c r="X285" s="12">
        <f>IF(M285="","",MAX(0,N(X284),W285))</f>
        <v/>
      </c>
      <c r="Y285" s="12">
        <f>IF(M285="","",X285-W285)</f>
        <v/>
      </c>
      <c r="Z285" s="12">
        <f>IF(M285="","",IF(M285&lt;0,N(Z284)+1,0))</f>
        <v/>
      </c>
    </row>
    <row r="286">
      <c r="H286" s="7" t="n"/>
      <c r="I286" s="7" t="n"/>
      <c r="J286" s="7" t="n"/>
      <c r="K286" s="7" t="n"/>
      <c r="M286" s="8" t="n"/>
      <c r="P286" s="9" t="n"/>
      <c r="Q286" s="10" t="n"/>
      <c r="R286" s="10" t="n"/>
      <c r="S286" s="11" t="n"/>
      <c r="U286" s="12">
        <f>IF(OR(H286="",I286=""),"",ROUND(Settings!$B$4/ABS(H286-I286),2))</f>
        <v/>
      </c>
      <c r="V286" s="13">
        <f>IF(M286="","",ROUND(M286*Settings!$B$4,2))</f>
        <v/>
      </c>
      <c r="W286" s="12">
        <f>IF(M286="","",SUM($M$2:M286))</f>
        <v/>
      </c>
      <c r="X286" s="12">
        <f>IF(M286="","",MAX(0,N(X285),W286))</f>
        <v/>
      </c>
      <c r="Y286" s="12">
        <f>IF(M286="","",X286-W286)</f>
        <v/>
      </c>
      <c r="Z286" s="12">
        <f>IF(M286="","",IF(M286&lt;0,N(Z285)+1,0))</f>
        <v/>
      </c>
    </row>
    <row r="287">
      <c r="H287" s="7" t="n"/>
      <c r="I287" s="7" t="n"/>
      <c r="J287" s="7" t="n"/>
      <c r="K287" s="7" t="n"/>
      <c r="M287" s="8" t="n"/>
      <c r="P287" s="9" t="n"/>
      <c r="Q287" s="10" t="n"/>
      <c r="R287" s="10" t="n"/>
      <c r="S287" s="11" t="n"/>
      <c r="U287" s="12">
        <f>IF(OR(H287="",I287=""),"",ROUND(Settings!$B$4/ABS(H287-I287),2))</f>
        <v/>
      </c>
      <c r="V287" s="13">
        <f>IF(M287="","",ROUND(M287*Settings!$B$4,2))</f>
        <v/>
      </c>
      <c r="W287" s="12">
        <f>IF(M287="","",SUM($M$2:M287))</f>
        <v/>
      </c>
      <c r="X287" s="12">
        <f>IF(M287="","",MAX(0,N(X286),W287))</f>
        <v/>
      </c>
      <c r="Y287" s="12">
        <f>IF(M287="","",X287-W287)</f>
        <v/>
      </c>
      <c r="Z287" s="12">
        <f>IF(M287="","",IF(M287&lt;0,N(Z286)+1,0))</f>
        <v/>
      </c>
    </row>
    <row r="288">
      <c r="H288" s="7" t="n"/>
      <c r="I288" s="7" t="n"/>
      <c r="J288" s="7" t="n"/>
      <c r="K288" s="7" t="n"/>
      <c r="M288" s="8" t="n"/>
      <c r="P288" s="9" t="n"/>
      <c r="Q288" s="10" t="n"/>
      <c r="R288" s="10" t="n"/>
      <c r="S288" s="11" t="n"/>
      <c r="U288" s="12">
        <f>IF(OR(H288="",I288=""),"",ROUND(Settings!$B$4/ABS(H288-I288),2))</f>
        <v/>
      </c>
      <c r="V288" s="13">
        <f>IF(M288="","",ROUND(M288*Settings!$B$4,2))</f>
        <v/>
      </c>
      <c r="W288" s="12">
        <f>IF(M288="","",SUM($M$2:M288))</f>
        <v/>
      </c>
      <c r="X288" s="12">
        <f>IF(M288="","",MAX(0,N(X287),W288))</f>
        <v/>
      </c>
      <c r="Y288" s="12">
        <f>IF(M288="","",X288-W288)</f>
        <v/>
      </c>
      <c r="Z288" s="12">
        <f>IF(M288="","",IF(M288&lt;0,N(Z287)+1,0))</f>
        <v/>
      </c>
    </row>
    <row r="289">
      <c r="H289" s="7" t="n"/>
      <c r="I289" s="7" t="n"/>
      <c r="J289" s="7" t="n"/>
      <c r="K289" s="7" t="n"/>
      <c r="M289" s="8" t="n"/>
      <c r="P289" s="9" t="n"/>
      <c r="Q289" s="10" t="n"/>
      <c r="R289" s="10" t="n"/>
      <c r="S289" s="11" t="n"/>
      <c r="U289" s="12">
        <f>IF(OR(H289="",I289=""),"",ROUND(Settings!$B$4/ABS(H289-I289),2))</f>
        <v/>
      </c>
      <c r="V289" s="13">
        <f>IF(M289="","",ROUND(M289*Settings!$B$4,2))</f>
        <v/>
      </c>
      <c r="W289" s="12">
        <f>IF(M289="","",SUM($M$2:M289))</f>
        <v/>
      </c>
      <c r="X289" s="12">
        <f>IF(M289="","",MAX(0,N(X288),W289))</f>
        <v/>
      </c>
      <c r="Y289" s="12">
        <f>IF(M289="","",X289-W289)</f>
        <v/>
      </c>
      <c r="Z289" s="12">
        <f>IF(M289="","",IF(M289&lt;0,N(Z288)+1,0))</f>
        <v/>
      </c>
    </row>
    <row r="290">
      <c r="H290" s="7" t="n"/>
      <c r="I290" s="7" t="n"/>
      <c r="J290" s="7" t="n"/>
      <c r="K290" s="7" t="n"/>
      <c r="M290" s="8" t="n"/>
      <c r="P290" s="9" t="n"/>
      <c r="Q290" s="10" t="n"/>
      <c r="R290" s="10" t="n"/>
      <c r="S290" s="11" t="n"/>
      <c r="U290" s="12">
        <f>IF(OR(H290="",I290=""),"",ROUND(Settings!$B$4/ABS(H290-I290),2))</f>
        <v/>
      </c>
      <c r="V290" s="13">
        <f>IF(M290="","",ROUND(M290*Settings!$B$4,2))</f>
        <v/>
      </c>
      <c r="W290" s="12">
        <f>IF(M290="","",SUM($M$2:M290))</f>
        <v/>
      </c>
      <c r="X290" s="12">
        <f>IF(M290="","",MAX(0,N(X289),W290))</f>
        <v/>
      </c>
      <c r="Y290" s="12">
        <f>IF(M290="","",X290-W290)</f>
        <v/>
      </c>
      <c r="Z290" s="12">
        <f>IF(M290="","",IF(M290&lt;0,N(Z289)+1,0))</f>
        <v/>
      </c>
    </row>
    <row r="291">
      <c r="H291" s="7" t="n"/>
      <c r="I291" s="7" t="n"/>
      <c r="J291" s="7" t="n"/>
      <c r="K291" s="7" t="n"/>
      <c r="M291" s="8" t="n"/>
      <c r="P291" s="9" t="n"/>
      <c r="Q291" s="10" t="n"/>
      <c r="R291" s="10" t="n"/>
      <c r="S291" s="11" t="n"/>
      <c r="U291" s="12">
        <f>IF(OR(H291="",I291=""),"",ROUND(Settings!$B$4/ABS(H291-I291),2))</f>
        <v/>
      </c>
      <c r="V291" s="13">
        <f>IF(M291="","",ROUND(M291*Settings!$B$4,2))</f>
        <v/>
      </c>
      <c r="W291" s="12">
        <f>IF(M291="","",SUM($M$2:M291))</f>
        <v/>
      </c>
      <c r="X291" s="12">
        <f>IF(M291="","",MAX(0,N(X290),W291))</f>
        <v/>
      </c>
      <c r="Y291" s="12">
        <f>IF(M291="","",X291-W291)</f>
        <v/>
      </c>
      <c r="Z291" s="12">
        <f>IF(M291="","",IF(M291&lt;0,N(Z290)+1,0))</f>
        <v/>
      </c>
    </row>
    <row r="292">
      <c r="H292" s="7" t="n"/>
      <c r="I292" s="7" t="n"/>
      <c r="J292" s="7" t="n"/>
      <c r="K292" s="7" t="n"/>
      <c r="M292" s="8" t="n"/>
      <c r="P292" s="9" t="n"/>
      <c r="Q292" s="10" t="n"/>
      <c r="R292" s="10" t="n"/>
      <c r="S292" s="11" t="n"/>
      <c r="U292" s="12">
        <f>IF(OR(H292="",I292=""),"",ROUND(Settings!$B$4/ABS(H292-I292),2))</f>
        <v/>
      </c>
      <c r="V292" s="13">
        <f>IF(M292="","",ROUND(M292*Settings!$B$4,2))</f>
        <v/>
      </c>
      <c r="W292" s="12">
        <f>IF(M292="","",SUM($M$2:M292))</f>
        <v/>
      </c>
      <c r="X292" s="12">
        <f>IF(M292="","",MAX(0,N(X291),W292))</f>
        <v/>
      </c>
      <c r="Y292" s="12">
        <f>IF(M292="","",X292-W292)</f>
        <v/>
      </c>
      <c r="Z292" s="12">
        <f>IF(M292="","",IF(M292&lt;0,N(Z291)+1,0))</f>
        <v/>
      </c>
    </row>
    <row r="293">
      <c r="H293" s="7" t="n"/>
      <c r="I293" s="7" t="n"/>
      <c r="J293" s="7" t="n"/>
      <c r="K293" s="7" t="n"/>
      <c r="M293" s="8" t="n"/>
      <c r="P293" s="9" t="n"/>
      <c r="Q293" s="10" t="n"/>
      <c r="R293" s="10" t="n"/>
      <c r="S293" s="11" t="n"/>
      <c r="U293" s="12">
        <f>IF(OR(H293="",I293=""),"",ROUND(Settings!$B$4/ABS(H293-I293),2))</f>
        <v/>
      </c>
      <c r="V293" s="13">
        <f>IF(M293="","",ROUND(M293*Settings!$B$4,2))</f>
        <v/>
      </c>
      <c r="W293" s="12">
        <f>IF(M293="","",SUM($M$2:M293))</f>
        <v/>
      </c>
      <c r="X293" s="12">
        <f>IF(M293="","",MAX(0,N(X292),W293))</f>
        <v/>
      </c>
      <c r="Y293" s="12">
        <f>IF(M293="","",X293-W293)</f>
        <v/>
      </c>
      <c r="Z293" s="12">
        <f>IF(M293="","",IF(M293&lt;0,N(Z292)+1,0))</f>
        <v/>
      </c>
    </row>
    <row r="294">
      <c r="H294" s="7" t="n"/>
      <c r="I294" s="7" t="n"/>
      <c r="J294" s="7" t="n"/>
      <c r="K294" s="7" t="n"/>
      <c r="M294" s="8" t="n"/>
      <c r="P294" s="9" t="n"/>
      <c r="Q294" s="10" t="n"/>
      <c r="R294" s="10" t="n"/>
      <c r="S294" s="11" t="n"/>
      <c r="U294" s="12">
        <f>IF(OR(H294="",I294=""),"",ROUND(Settings!$B$4/ABS(H294-I294),2))</f>
        <v/>
      </c>
      <c r="V294" s="13">
        <f>IF(M294="","",ROUND(M294*Settings!$B$4,2))</f>
        <v/>
      </c>
      <c r="W294" s="12">
        <f>IF(M294="","",SUM($M$2:M294))</f>
        <v/>
      </c>
      <c r="X294" s="12">
        <f>IF(M294="","",MAX(0,N(X293),W294))</f>
        <v/>
      </c>
      <c r="Y294" s="12">
        <f>IF(M294="","",X294-W294)</f>
        <v/>
      </c>
      <c r="Z294" s="12">
        <f>IF(M294="","",IF(M294&lt;0,N(Z293)+1,0))</f>
        <v/>
      </c>
    </row>
    <row r="295">
      <c r="H295" s="7" t="n"/>
      <c r="I295" s="7" t="n"/>
      <c r="J295" s="7" t="n"/>
      <c r="K295" s="7" t="n"/>
      <c r="M295" s="8" t="n"/>
      <c r="P295" s="9" t="n"/>
      <c r="Q295" s="10" t="n"/>
      <c r="R295" s="10" t="n"/>
      <c r="S295" s="11" t="n"/>
      <c r="U295" s="12">
        <f>IF(OR(H295="",I295=""),"",ROUND(Settings!$B$4/ABS(H295-I295),2))</f>
        <v/>
      </c>
      <c r="V295" s="13">
        <f>IF(M295="","",ROUND(M295*Settings!$B$4,2))</f>
        <v/>
      </c>
      <c r="W295" s="12">
        <f>IF(M295="","",SUM($M$2:M295))</f>
        <v/>
      </c>
      <c r="X295" s="12">
        <f>IF(M295="","",MAX(0,N(X294),W295))</f>
        <v/>
      </c>
      <c r="Y295" s="12">
        <f>IF(M295="","",X295-W295)</f>
        <v/>
      </c>
      <c r="Z295" s="12">
        <f>IF(M295="","",IF(M295&lt;0,N(Z294)+1,0))</f>
        <v/>
      </c>
    </row>
    <row r="296">
      <c r="H296" s="7" t="n"/>
      <c r="I296" s="7" t="n"/>
      <c r="J296" s="7" t="n"/>
      <c r="K296" s="7" t="n"/>
      <c r="M296" s="8" t="n"/>
      <c r="P296" s="9" t="n"/>
      <c r="Q296" s="10" t="n"/>
      <c r="R296" s="10" t="n"/>
      <c r="S296" s="11" t="n"/>
      <c r="U296" s="12">
        <f>IF(OR(H296="",I296=""),"",ROUND(Settings!$B$4/ABS(H296-I296),2))</f>
        <v/>
      </c>
      <c r="V296" s="13">
        <f>IF(M296="","",ROUND(M296*Settings!$B$4,2))</f>
        <v/>
      </c>
      <c r="W296" s="12">
        <f>IF(M296="","",SUM($M$2:M296))</f>
        <v/>
      </c>
      <c r="X296" s="12">
        <f>IF(M296="","",MAX(0,N(X295),W296))</f>
        <v/>
      </c>
      <c r="Y296" s="12">
        <f>IF(M296="","",X296-W296)</f>
        <v/>
      </c>
      <c r="Z296" s="12">
        <f>IF(M296="","",IF(M296&lt;0,N(Z295)+1,0))</f>
        <v/>
      </c>
    </row>
    <row r="297">
      <c r="H297" s="7" t="n"/>
      <c r="I297" s="7" t="n"/>
      <c r="J297" s="7" t="n"/>
      <c r="K297" s="7" t="n"/>
      <c r="M297" s="8" t="n"/>
      <c r="P297" s="9" t="n"/>
      <c r="Q297" s="10" t="n"/>
      <c r="R297" s="10" t="n"/>
      <c r="S297" s="11" t="n"/>
      <c r="U297" s="12">
        <f>IF(OR(H297="",I297=""),"",ROUND(Settings!$B$4/ABS(H297-I297),2))</f>
        <v/>
      </c>
      <c r="V297" s="13">
        <f>IF(M297="","",ROUND(M297*Settings!$B$4,2))</f>
        <v/>
      </c>
      <c r="W297" s="12">
        <f>IF(M297="","",SUM($M$2:M297))</f>
        <v/>
      </c>
      <c r="X297" s="12">
        <f>IF(M297="","",MAX(0,N(X296),W297))</f>
        <v/>
      </c>
      <c r="Y297" s="12">
        <f>IF(M297="","",X297-W297)</f>
        <v/>
      </c>
      <c r="Z297" s="12">
        <f>IF(M297="","",IF(M297&lt;0,N(Z296)+1,0))</f>
        <v/>
      </c>
    </row>
    <row r="298">
      <c r="H298" s="7" t="n"/>
      <c r="I298" s="7" t="n"/>
      <c r="J298" s="7" t="n"/>
      <c r="K298" s="7" t="n"/>
      <c r="M298" s="8" t="n"/>
      <c r="P298" s="9" t="n"/>
      <c r="Q298" s="10" t="n"/>
      <c r="R298" s="10" t="n"/>
      <c r="S298" s="11" t="n"/>
      <c r="U298" s="12">
        <f>IF(OR(H298="",I298=""),"",ROUND(Settings!$B$4/ABS(H298-I298),2))</f>
        <v/>
      </c>
      <c r="V298" s="13">
        <f>IF(M298="","",ROUND(M298*Settings!$B$4,2))</f>
        <v/>
      </c>
      <c r="W298" s="12">
        <f>IF(M298="","",SUM($M$2:M298))</f>
        <v/>
      </c>
      <c r="X298" s="12">
        <f>IF(M298="","",MAX(0,N(X297),W298))</f>
        <v/>
      </c>
      <c r="Y298" s="12">
        <f>IF(M298="","",X298-W298)</f>
        <v/>
      </c>
      <c r="Z298" s="12">
        <f>IF(M298="","",IF(M298&lt;0,N(Z297)+1,0))</f>
        <v/>
      </c>
    </row>
    <row r="299">
      <c r="H299" s="7" t="n"/>
      <c r="I299" s="7" t="n"/>
      <c r="J299" s="7" t="n"/>
      <c r="K299" s="7" t="n"/>
      <c r="M299" s="8" t="n"/>
      <c r="P299" s="9" t="n"/>
      <c r="Q299" s="10" t="n"/>
      <c r="R299" s="10" t="n"/>
      <c r="S299" s="11" t="n"/>
      <c r="U299" s="12">
        <f>IF(OR(H299="",I299=""),"",ROUND(Settings!$B$4/ABS(H299-I299),2))</f>
        <v/>
      </c>
      <c r="V299" s="13">
        <f>IF(M299="","",ROUND(M299*Settings!$B$4,2))</f>
        <v/>
      </c>
      <c r="W299" s="12">
        <f>IF(M299="","",SUM($M$2:M299))</f>
        <v/>
      </c>
      <c r="X299" s="12">
        <f>IF(M299="","",MAX(0,N(X298),W299))</f>
        <v/>
      </c>
      <c r="Y299" s="12">
        <f>IF(M299="","",X299-W299)</f>
        <v/>
      </c>
      <c r="Z299" s="12">
        <f>IF(M299="","",IF(M299&lt;0,N(Z298)+1,0))</f>
        <v/>
      </c>
    </row>
    <row r="300">
      <c r="H300" s="7" t="n"/>
      <c r="I300" s="7" t="n"/>
      <c r="J300" s="7" t="n"/>
      <c r="K300" s="7" t="n"/>
      <c r="M300" s="8" t="n"/>
      <c r="P300" s="9" t="n"/>
      <c r="Q300" s="10" t="n"/>
      <c r="R300" s="10" t="n"/>
      <c r="S300" s="11" t="n"/>
      <c r="U300" s="12">
        <f>IF(OR(H300="",I300=""),"",ROUND(Settings!$B$4/ABS(H300-I300),2))</f>
        <v/>
      </c>
      <c r="V300" s="13">
        <f>IF(M300="","",ROUND(M300*Settings!$B$4,2))</f>
        <v/>
      </c>
      <c r="W300" s="12">
        <f>IF(M300="","",SUM($M$2:M300))</f>
        <v/>
      </c>
      <c r="X300" s="12">
        <f>IF(M300="","",MAX(0,N(X299),W300))</f>
        <v/>
      </c>
      <c r="Y300" s="12">
        <f>IF(M300="","",X300-W300)</f>
        <v/>
      </c>
      <c r="Z300" s="12">
        <f>IF(M300="","",IF(M300&lt;0,N(Z299)+1,0))</f>
        <v/>
      </c>
    </row>
    <row r="301">
      <c r="H301" s="7" t="n"/>
      <c r="I301" s="7" t="n"/>
      <c r="J301" s="7" t="n"/>
      <c r="K301" s="7" t="n"/>
      <c r="M301" s="8" t="n"/>
      <c r="P301" s="9" t="n"/>
      <c r="Q301" s="10" t="n"/>
      <c r="R301" s="10" t="n"/>
      <c r="S301" s="11" t="n"/>
      <c r="U301" s="12">
        <f>IF(OR(H301="",I301=""),"",ROUND(Settings!$B$4/ABS(H301-I301),2))</f>
        <v/>
      </c>
      <c r="V301" s="13">
        <f>IF(M301="","",ROUND(M301*Settings!$B$4,2))</f>
        <v/>
      </c>
      <c r="W301" s="12">
        <f>IF(M301="","",SUM($M$2:M301))</f>
        <v/>
      </c>
      <c r="X301" s="12">
        <f>IF(M301="","",MAX(0,N(X300),W301))</f>
        <v/>
      </c>
      <c r="Y301" s="12">
        <f>IF(M301="","",X301-W301)</f>
        <v/>
      </c>
      <c r="Z301" s="12">
        <f>IF(M301="","",IF(M301&lt;0,N(Z300)+1,0))</f>
        <v/>
      </c>
    </row>
    <row r="302">
      <c r="H302" s="7" t="n"/>
      <c r="I302" s="7" t="n"/>
      <c r="J302" s="7" t="n"/>
      <c r="K302" s="7" t="n"/>
      <c r="M302" s="8" t="n"/>
      <c r="P302" s="9" t="n"/>
      <c r="Q302" s="10" t="n"/>
      <c r="R302" s="10" t="n"/>
      <c r="S302" s="11" t="n"/>
      <c r="U302" s="12">
        <f>IF(OR(H302="",I302=""),"",ROUND(Settings!$B$4/ABS(H302-I302),2))</f>
        <v/>
      </c>
      <c r="V302" s="13">
        <f>IF(M302="","",ROUND(M302*Settings!$B$4,2))</f>
        <v/>
      </c>
      <c r="W302" s="12">
        <f>IF(M302="","",SUM($M$2:M302))</f>
        <v/>
      </c>
      <c r="X302" s="12">
        <f>IF(M302="","",MAX(0,N(X301),W302))</f>
        <v/>
      </c>
      <c r="Y302" s="12">
        <f>IF(M302="","",X302-W302)</f>
        <v/>
      </c>
      <c r="Z302" s="12">
        <f>IF(M302="","",IF(M302&lt;0,N(Z301)+1,0))</f>
        <v/>
      </c>
    </row>
    <row r="303">
      <c r="H303" s="7" t="n"/>
      <c r="I303" s="7" t="n"/>
      <c r="J303" s="7" t="n"/>
      <c r="K303" s="7" t="n"/>
      <c r="M303" s="8" t="n"/>
      <c r="P303" s="9" t="n"/>
      <c r="Q303" s="10" t="n"/>
      <c r="R303" s="10" t="n"/>
      <c r="S303" s="11" t="n"/>
      <c r="U303" s="12">
        <f>IF(OR(H303="",I303=""),"",ROUND(Settings!$B$4/ABS(H303-I303),2))</f>
        <v/>
      </c>
      <c r="V303" s="13">
        <f>IF(M303="","",ROUND(M303*Settings!$B$4,2))</f>
        <v/>
      </c>
      <c r="W303" s="12">
        <f>IF(M303="","",SUM($M$2:M303))</f>
        <v/>
      </c>
      <c r="X303" s="12">
        <f>IF(M303="","",MAX(0,N(X302),W303))</f>
        <v/>
      </c>
      <c r="Y303" s="12">
        <f>IF(M303="","",X303-W303)</f>
        <v/>
      </c>
      <c r="Z303" s="12">
        <f>IF(M303="","",IF(M303&lt;0,N(Z302)+1,0))</f>
        <v/>
      </c>
    </row>
    <row r="304">
      <c r="H304" s="7" t="n"/>
      <c r="I304" s="7" t="n"/>
      <c r="J304" s="7" t="n"/>
      <c r="K304" s="7" t="n"/>
      <c r="M304" s="8" t="n"/>
      <c r="P304" s="9" t="n"/>
      <c r="Q304" s="10" t="n"/>
      <c r="R304" s="10" t="n"/>
      <c r="S304" s="11" t="n"/>
      <c r="U304" s="12">
        <f>IF(OR(H304="",I304=""),"",ROUND(Settings!$B$4/ABS(H304-I304),2))</f>
        <v/>
      </c>
      <c r="V304" s="13">
        <f>IF(M304="","",ROUND(M304*Settings!$B$4,2))</f>
        <v/>
      </c>
      <c r="W304" s="12">
        <f>IF(M304="","",SUM($M$2:M304))</f>
        <v/>
      </c>
      <c r="X304" s="12">
        <f>IF(M304="","",MAX(0,N(X303),W304))</f>
        <v/>
      </c>
      <c r="Y304" s="12">
        <f>IF(M304="","",X304-W304)</f>
        <v/>
      </c>
      <c r="Z304" s="12">
        <f>IF(M304="","",IF(M304&lt;0,N(Z303)+1,0))</f>
        <v/>
      </c>
    </row>
    <row r="305">
      <c r="H305" s="7" t="n"/>
      <c r="I305" s="7" t="n"/>
      <c r="J305" s="7" t="n"/>
      <c r="K305" s="7" t="n"/>
      <c r="M305" s="8" t="n"/>
      <c r="P305" s="9" t="n"/>
      <c r="Q305" s="10" t="n"/>
      <c r="R305" s="10" t="n"/>
      <c r="S305" s="11" t="n"/>
      <c r="U305" s="12">
        <f>IF(OR(H305="",I305=""),"",ROUND(Settings!$B$4/ABS(H305-I305),2))</f>
        <v/>
      </c>
      <c r="V305" s="13">
        <f>IF(M305="","",ROUND(M305*Settings!$B$4,2))</f>
        <v/>
      </c>
      <c r="W305" s="12">
        <f>IF(M305="","",SUM($M$2:M305))</f>
        <v/>
      </c>
      <c r="X305" s="12">
        <f>IF(M305="","",MAX(0,N(X304),W305))</f>
        <v/>
      </c>
      <c r="Y305" s="12">
        <f>IF(M305="","",X305-W305)</f>
        <v/>
      </c>
      <c r="Z305" s="12">
        <f>IF(M305="","",IF(M305&lt;0,N(Z304)+1,0))</f>
        <v/>
      </c>
    </row>
    <row r="306">
      <c r="H306" s="7" t="n"/>
      <c r="I306" s="7" t="n"/>
      <c r="J306" s="7" t="n"/>
      <c r="K306" s="7" t="n"/>
      <c r="M306" s="8" t="n"/>
      <c r="P306" s="9" t="n"/>
      <c r="Q306" s="10" t="n"/>
      <c r="R306" s="10" t="n"/>
      <c r="S306" s="11" t="n"/>
      <c r="U306" s="12">
        <f>IF(OR(H306="",I306=""),"",ROUND(Settings!$B$4/ABS(H306-I306),2))</f>
        <v/>
      </c>
      <c r="V306" s="13">
        <f>IF(M306="","",ROUND(M306*Settings!$B$4,2))</f>
        <v/>
      </c>
      <c r="W306" s="12">
        <f>IF(M306="","",SUM($M$2:M306))</f>
        <v/>
      </c>
      <c r="X306" s="12">
        <f>IF(M306="","",MAX(0,N(X305),W306))</f>
        <v/>
      </c>
      <c r="Y306" s="12">
        <f>IF(M306="","",X306-W306)</f>
        <v/>
      </c>
      <c r="Z306" s="12">
        <f>IF(M306="","",IF(M306&lt;0,N(Z305)+1,0))</f>
        <v/>
      </c>
    </row>
    <row r="307">
      <c r="H307" s="7" t="n"/>
      <c r="I307" s="7" t="n"/>
      <c r="J307" s="7" t="n"/>
      <c r="K307" s="7" t="n"/>
      <c r="M307" s="8" t="n"/>
      <c r="P307" s="9" t="n"/>
      <c r="Q307" s="10" t="n"/>
      <c r="R307" s="10" t="n"/>
      <c r="S307" s="11" t="n"/>
      <c r="U307" s="12">
        <f>IF(OR(H307="",I307=""),"",ROUND(Settings!$B$4/ABS(H307-I307),2))</f>
        <v/>
      </c>
      <c r="V307" s="13">
        <f>IF(M307="","",ROUND(M307*Settings!$B$4,2))</f>
        <v/>
      </c>
      <c r="W307" s="12">
        <f>IF(M307="","",SUM($M$2:M307))</f>
        <v/>
      </c>
      <c r="X307" s="12">
        <f>IF(M307="","",MAX(0,N(X306),W307))</f>
        <v/>
      </c>
      <c r="Y307" s="12">
        <f>IF(M307="","",X307-W307)</f>
        <v/>
      </c>
      <c r="Z307" s="12">
        <f>IF(M307="","",IF(M307&lt;0,N(Z306)+1,0))</f>
        <v/>
      </c>
    </row>
    <row r="308">
      <c r="H308" s="7" t="n"/>
      <c r="I308" s="7" t="n"/>
      <c r="J308" s="7" t="n"/>
      <c r="K308" s="7" t="n"/>
      <c r="M308" s="8" t="n"/>
      <c r="P308" s="9" t="n"/>
      <c r="Q308" s="10" t="n"/>
      <c r="R308" s="10" t="n"/>
      <c r="S308" s="11" t="n"/>
      <c r="U308" s="12">
        <f>IF(OR(H308="",I308=""),"",ROUND(Settings!$B$4/ABS(H308-I308),2))</f>
        <v/>
      </c>
      <c r="V308" s="13">
        <f>IF(M308="","",ROUND(M308*Settings!$B$4,2))</f>
        <v/>
      </c>
      <c r="W308" s="12">
        <f>IF(M308="","",SUM($M$2:M308))</f>
        <v/>
      </c>
      <c r="X308" s="12">
        <f>IF(M308="","",MAX(0,N(X307),W308))</f>
        <v/>
      </c>
      <c r="Y308" s="12">
        <f>IF(M308="","",X308-W308)</f>
        <v/>
      </c>
      <c r="Z308" s="12">
        <f>IF(M308="","",IF(M308&lt;0,N(Z307)+1,0))</f>
        <v/>
      </c>
    </row>
    <row r="309">
      <c r="H309" s="7" t="n"/>
      <c r="I309" s="7" t="n"/>
      <c r="J309" s="7" t="n"/>
      <c r="K309" s="7" t="n"/>
      <c r="M309" s="8" t="n"/>
      <c r="P309" s="9" t="n"/>
      <c r="Q309" s="10" t="n"/>
      <c r="R309" s="10" t="n"/>
      <c r="S309" s="11" t="n"/>
      <c r="U309" s="12">
        <f>IF(OR(H309="",I309=""),"",ROUND(Settings!$B$4/ABS(H309-I309),2))</f>
        <v/>
      </c>
      <c r="V309" s="13">
        <f>IF(M309="","",ROUND(M309*Settings!$B$4,2))</f>
        <v/>
      </c>
      <c r="W309" s="12">
        <f>IF(M309="","",SUM($M$2:M309))</f>
        <v/>
      </c>
      <c r="X309" s="12">
        <f>IF(M309="","",MAX(0,N(X308),W309))</f>
        <v/>
      </c>
      <c r="Y309" s="12">
        <f>IF(M309="","",X309-W309)</f>
        <v/>
      </c>
      <c r="Z309" s="12">
        <f>IF(M309="","",IF(M309&lt;0,N(Z308)+1,0))</f>
        <v/>
      </c>
    </row>
    <row r="310">
      <c r="H310" s="7" t="n"/>
      <c r="I310" s="7" t="n"/>
      <c r="J310" s="7" t="n"/>
      <c r="K310" s="7" t="n"/>
      <c r="M310" s="8" t="n"/>
      <c r="P310" s="9" t="n"/>
      <c r="Q310" s="10" t="n"/>
      <c r="R310" s="10" t="n"/>
      <c r="S310" s="11" t="n"/>
      <c r="U310" s="12">
        <f>IF(OR(H310="",I310=""),"",ROUND(Settings!$B$4/ABS(H310-I310),2))</f>
        <v/>
      </c>
      <c r="V310" s="13">
        <f>IF(M310="","",ROUND(M310*Settings!$B$4,2))</f>
        <v/>
      </c>
      <c r="W310" s="12">
        <f>IF(M310="","",SUM($M$2:M310))</f>
        <v/>
      </c>
      <c r="X310" s="12">
        <f>IF(M310="","",MAX(0,N(X309),W310))</f>
        <v/>
      </c>
      <c r="Y310" s="12">
        <f>IF(M310="","",X310-W310)</f>
        <v/>
      </c>
      <c r="Z310" s="12">
        <f>IF(M310="","",IF(M310&lt;0,N(Z309)+1,0))</f>
        <v/>
      </c>
    </row>
    <row r="311">
      <c r="H311" s="7" t="n"/>
      <c r="I311" s="7" t="n"/>
      <c r="J311" s="7" t="n"/>
      <c r="K311" s="7" t="n"/>
      <c r="M311" s="8" t="n"/>
      <c r="P311" s="9" t="n"/>
      <c r="Q311" s="10" t="n"/>
      <c r="R311" s="10" t="n"/>
      <c r="S311" s="11" t="n"/>
      <c r="U311" s="12">
        <f>IF(OR(H311="",I311=""),"",ROUND(Settings!$B$4/ABS(H311-I311),2))</f>
        <v/>
      </c>
      <c r="V311" s="13">
        <f>IF(M311="","",ROUND(M311*Settings!$B$4,2))</f>
        <v/>
      </c>
      <c r="W311" s="12">
        <f>IF(M311="","",SUM($M$2:M311))</f>
        <v/>
      </c>
      <c r="X311" s="12">
        <f>IF(M311="","",MAX(0,N(X310),W311))</f>
        <v/>
      </c>
      <c r="Y311" s="12">
        <f>IF(M311="","",X311-W311)</f>
        <v/>
      </c>
      <c r="Z311" s="12">
        <f>IF(M311="","",IF(M311&lt;0,N(Z310)+1,0))</f>
        <v/>
      </c>
    </row>
    <row r="312">
      <c r="H312" s="7" t="n"/>
      <c r="I312" s="7" t="n"/>
      <c r="J312" s="7" t="n"/>
      <c r="K312" s="7" t="n"/>
      <c r="M312" s="8" t="n"/>
      <c r="P312" s="9" t="n"/>
      <c r="Q312" s="10" t="n"/>
      <c r="R312" s="10" t="n"/>
      <c r="S312" s="11" t="n"/>
      <c r="U312" s="12">
        <f>IF(OR(H312="",I312=""),"",ROUND(Settings!$B$4/ABS(H312-I312),2))</f>
        <v/>
      </c>
      <c r="V312" s="13">
        <f>IF(M312="","",ROUND(M312*Settings!$B$4,2))</f>
        <v/>
      </c>
      <c r="W312" s="12">
        <f>IF(M312="","",SUM($M$2:M312))</f>
        <v/>
      </c>
      <c r="X312" s="12">
        <f>IF(M312="","",MAX(0,N(X311),W312))</f>
        <v/>
      </c>
      <c r="Y312" s="12">
        <f>IF(M312="","",X312-W312)</f>
        <v/>
      </c>
      <c r="Z312" s="12">
        <f>IF(M312="","",IF(M312&lt;0,N(Z311)+1,0))</f>
        <v/>
      </c>
    </row>
    <row r="313">
      <c r="H313" s="7" t="n"/>
      <c r="I313" s="7" t="n"/>
      <c r="J313" s="7" t="n"/>
      <c r="K313" s="7" t="n"/>
      <c r="M313" s="8" t="n"/>
      <c r="P313" s="9" t="n"/>
      <c r="Q313" s="10" t="n"/>
      <c r="R313" s="10" t="n"/>
      <c r="S313" s="11" t="n"/>
      <c r="U313" s="12">
        <f>IF(OR(H313="",I313=""),"",ROUND(Settings!$B$4/ABS(H313-I313),2))</f>
        <v/>
      </c>
      <c r="V313" s="13">
        <f>IF(M313="","",ROUND(M313*Settings!$B$4,2))</f>
        <v/>
      </c>
      <c r="W313" s="12">
        <f>IF(M313="","",SUM($M$2:M313))</f>
        <v/>
      </c>
      <c r="X313" s="12">
        <f>IF(M313="","",MAX(0,N(X312),W313))</f>
        <v/>
      </c>
      <c r="Y313" s="12">
        <f>IF(M313="","",X313-W313)</f>
        <v/>
      </c>
      <c r="Z313" s="12">
        <f>IF(M313="","",IF(M313&lt;0,N(Z312)+1,0))</f>
        <v/>
      </c>
    </row>
    <row r="314">
      <c r="H314" s="7" t="n"/>
      <c r="I314" s="7" t="n"/>
      <c r="J314" s="7" t="n"/>
      <c r="K314" s="7" t="n"/>
      <c r="M314" s="8" t="n"/>
      <c r="P314" s="9" t="n"/>
      <c r="Q314" s="10" t="n"/>
      <c r="R314" s="10" t="n"/>
      <c r="S314" s="11" t="n"/>
      <c r="U314" s="12">
        <f>IF(OR(H314="",I314=""),"",ROUND(Settings!$B$4/ABS(H314-I314),2))</f>
        <v/>
      </c>
      <c r="V314" s="13">
        <f>IF(M314="","",ROUND(M314*Settings!$B$4,2))</f>
        <v/>
      </c>
      <c r="W314" s="12">
        <f>IF(M314="","",SUM($M$2:M314))</f>
        <v/>
      </c>
      <c r="X314" s="12">
        <f>IF(M314="","",MAX(0,N(X313),W314))</f>
        <v/>
      </c>
      <c r="Y314" s="12">
        <f>IF(M314="","",X314-W314)</f>
        <v/>
      </c>
      <c r="Z314" s="12">
        <f>IF(M314="","",IF(M314&lt;0,N(Z313)+1,0))</f>
        <v/>
      </c>
    </row>
    <row r="315">
      <c r="H315" s="7" t="n"/>
      <c r="I315" s="7" t="n"/>
      <c r="J315" s="7" t="n"/>
      <c r="K315" s="7" t="n"/>
      <c r="M315" s="8" t="n"/>
      <c r="P315" s="9" t="n"/>
      <c r="Q315" s="10" t="n"/>
      <c r="R315" s="10" t="n"/>
      <c r="S315" s="11" t="n"/>
      <c r="U315" s="12">
        <f>IF(OR(H315="",I315=""),"",ROUND(Settings!$B$4/ABS(H315-I315),2))</f>
        <v/>
      </c>
      <c r="V315" s="13">
        <f>IF(M315="","",ROUND(M315*Settings!$B$4,2))</f>
        <v/>
      </c>
      <c r="W315" s="12">
        <f>IF(M315="","",SUM($M$2:M315))</f>
        <v/>
      </c>
      <c r="X315" s="12">
        <f>IF(M315="","",MAX(0,N(X314),W315))</f>
        <v/>
      </c>
      <c r="Y315" s="12">
        <f>IF(M315="","",X315-W315)</f>
        <v/>
      </c>
      <c r="Z315" s="12">
        <f>IF(M315="","",IF(M315&lt;0,N(Z314)+1,0))</f>
        <v/>
      </c>
    </row>
    <row r="316">
      <c r="H316" s="7" t="n"/>
      <c r="I316" s="7" t="n"/>
      <c r="J316" s="7" t="n"/>
      <c r="K316" s="7" t="n"/>
      <c r="M316" s="8" t="n"/>
      <c r="P316" s="9" t="n"/>
      <c r="Q316" s="10" t="n"/>
      <c r="R316" s="10" t="n"/>
      <c r="S316" s="11" t="n"/>
      <c r="U316" s="12">
        <f>IF(OR(H316="",I316=""),"",ROUND(Settings!$B$4/ABS(H316-I316),2))</f>
        <v/>
      </c>
      <c r="V316" s="13">
        <f>IF(M316="","",ROUND(M316*Settings!$B$4,2))</f>
        <v/>
      </c>
      <c r="W316" s="12">
        <f>IF(M316="","",SUM($M$2:M316))</f>
        <v/>
      </c>
      <c r="X316" s="12">
        <f>IF(M316="","",MAX(0,N(X315),W316))</f>
        <v/>
      </c>
      <c r="Y316" s="12">
        <f>IF(M316="","",X316-W316)</f>
        <v/>
      </c>
      <c r="Z316" s="12">
        <f>IF(M316="","",IF(M316&lt;0,N(Z315)+1,0))</f>
        <v/>
      </c>
    </row>
    <row r="317">
      <c r="H317" s="7" t="n"/>
      <c r="I317" s="7" t="n"/>
      <c r="J317" s="7" t="n"/>
      <c r="K317" s="7" t="n"/>
      <c r="M317" s="8" t="n"/>
      <c r="P317" s="9" t="n"/>
      <c r="Q317" s="10" t="n"/>
      <c r="R317" s="10" t="n"/>
      <c r="S317" s="11" t="n"/>
      <c r="U317" s="12">
        <f>IF(OR(H317="",I317=""),"",ROUND(Settings!$B$4/ABS(H317-I317),2))</f>
        <v/>
      </c>
      <c r="V317" s="13">
        <f>IF(M317="","",ROUND(M317*Settings!$B$4,2))</f>
        <v/>
      </c>
      <c r="W317" s="12">
        <f>IF(M317="","",SUM($M$2:M317))</f>
        <v/>
      </c>
      <c r="X317" s="12">
        <f>IF(M317="","",MAX(0,N(X316),W317))</f>
        <v/>
      </c>
      <c r="Y317" s="12">
        <f>IF(M317="","",X317-W317)</f>
        <v/>
      </c>
      <c r="Z317" s="12">
        <f>IF(M317="","",IF(M317&lt;0,N(Z316)+1,0))</f>
        <v/>
      </c>
    </row>
    <row r="318">
      <c r="H318" s="7" t="n"/>
      <c r="I318" s="7" t="n"/>
      <c r="J318" s="7" t="n"/>
      <c r="K318" s="7" t="n"/>
      <c r="M318" s="8" t="n"/>
      <c r="P318" s="9" t="n"/>
      <c r="Q318" s="10" t="n"/>
      <c r="R318" s="10" t="n"/>
      <c r="S318" s="11" t="n"/>
      <c r="U318" s="12">
        <f>IF(OR(H318="",I318=""),"",ROUND(Settings!$B$4/ABS(H318-I318),2))</f>
        <v/>
      </c>
      <c r="V318" s="13">
        <f>IF(M318="","",ROUND(M318*Settings!$B$4,2))</f>
        <v/>
      </c>
      <c r="W318" s="12">
        <f>IF(M318="","",SUM($M$2:M318))</f>
        <v/>
      </c>
      <c r="X318" s="12">
        <f>IF(M318="","",MAX(0,N(X317),W318))</f>
        <v/>
      </c>
      <c r="Y318" s="12">
        <f>IF(M318="","",X318-W318)</f>
        <v/>
      </c>
      <c r="Z318" s="12">
        <f>IF(M318="","",IF(M318&lt;0,N(Z317)+1,0))</f>
        <v/>
      </c>
    </row>
    <row r="319">
      <c r="H319" s="7" t="n"/>
      <c r="I319" s="7" t="n"/>
      <c r="J319" s="7" t="n"/>
      <c r="K319" s="7" t="n"/>
      <c r="M319" s="8" t="n"/>
      <c r="P319" s="9" t="n"/>
      <c r="Q319" s="10" t="n"/>
      <c r="R319" s="10" t="n"/>
      <c r="S319" s="11" t="n"/>
      <c r="U319" s="12">
        <f>IF(OR(H319="",I319=""),"",ROUND(Settings!$B$4/ABS(H319-I319),2))</f>
        <v/>
      </c>
      <c r="V319" s="13">
        <f>IF(M319="","",ROUND(M319*Settings!$B$4,2))</f>
        <v/>
      </c>
      <c r="W319" s="12">
        <f>IF(M319="","",SUM($M$2:M319))</f>
        <v/>
      </c>
      <c r="X319" s="12">
        <f>IF(M319="","",MAX(0,N(X318),W319))</f>
        <v/>
      </c>
      <c r="Y319" s="12">
        <f>IF(M319="","",X319-W319)</f>
        <v/>
      </c>
      <c r="Z319" s="12">
        <f>IF(M319="","",IF(M319&lt;0,N(Z318)+1,0))</f>
        <v/>
      </c>
    </row>
    <row r="320">
      <c r="H320" s="7" t="n"/>
      <c r="I320" s="7" t="n"/>
      <c r="J320" s="7" t="n"/>
      <c r="K320" s="7" t="n"/>
      <c r="M320" s="8" t="n"/>
      <c r="P320" s="9" t="n"/>
      <c r="Q320" s="10" t="n"/>
      <c r="R320" s="10" t="n"/>
      <c r="S320" s="11" t="n"/>
      <c r="U320" s="12">
        <f>IF(OR(H320="",I320=""),"",ROUND(Settings!$B$4/ABS(H320-I320),2))</f>
        <v/>
      </c>
      <c r="V320" s="13">
        <f>IF(M320="","",ROUND(M320*Settings!$B$4,2))</f>
        <v/>
      </c>
      <c r="W320" s="12">
        <f>IF(M320="","",SUM($M$2:M320))</f>
        <v/>
      </c>
      <c r="X320" s="12">
        <f>IF(M320="","",MAX(0,N(X319),W320))</f>
        <v/>
      </c>
      <c r="Y320" s="12">
        <f>IF(M320="","",X320-W320)</f>
        <v/>
      </c>
      <c r="Z320" s="12">
        <f>IF(M320="","",IF(M320&lt;0,N(Z319)+1,0))</f>
        <v/>
      </c>
    </row>
    <row r="321">
      <c r="H321" s="7" t="n"/>
      <c r="I321" s="7" t="n"/>
      <c r="J321" s="7" t="n"/>
      <c r="K321" s="7" t="n"/>
      <c r="M321" s="8" t="n"/>
      <c r="P321" s="9" t="n"/>
      <c r="Q321" s="10" t="n"/>
      <c r="R321" s="10" t="n"/>
      <c r="S321" s="11" t="n"/>
      <c r="U321" s="12">
        <f>IF(OR(H321="",I321=""),"",ROUND(Settings!$B$4/ABS(H321-I321),2))</f>
        <v/>
      </c>
      <c r="V321" s="13">
        <f>IF(M321="","",ROUND(M321*Settings!$B$4,2))</f>
        <v/>
      </c>
      <c r="W321" s="12">
        <f>IF(M321="","",SUM($M$2:M321))</f>
        <v/>
      </c>
      <c r="X321" s="12">
        <f>IF(M321="","",MAX(0,N(X320),W321))</f>
        <v/>
      </c>
      <c r="Y321" s="12">
        <f>IF(M321="","",X321-W321)</f>
        <v/>
      </c>
      <c r="Z321" s="12">
        <f>IF(M321="","",IF(M321&lt;0,N(Z320)+1,0))</f>
        <v/>
      </c>
    </row>
    <row r="322">
      <c r="H322" s="7" t="n"/>
      <c r="I322" s="7" t="n"/>
      <c r="J322" s="7" t="n"/>
      <c r="K322" s="7" t="n"/>
      <c r="M322" s="8" t="n"/>
      <c r="P322" s="9" t="n"/>
      <c r="Q322" s="10" t="n"/>
      <c r="R322" s="10" t="n"/>
      <c r="S322" s="11" t="n"/>
      <c r="U322" s="12">
        <f>IF(OR(H322="",I322=""),"",ROUND(Settings!$B$4/ABS(H322-I322),2))</f>
        <v/>
      </c>
      <c r="V322" s="13">
        <f>IF(M322="","",ROUND(M322*Settings!$B$4,2))</f>
        <v/>
      </c>
      <c r="W322" s="12">
        <f>IF(M322="","",SUM($M$2:M322))</f>
        <v/>
      </c>
      <c r="X322" s="12">
        <f>IF(M322="","",MAX(0,N(X321),W322))</f>
        <v/>
      </c>
      <c r="Y322" s="12">
        <f>IF(M322="","",X322-W322)</f>
        <v/>
      </c>
      <c r="Z322" s="12">
        <f>IF(M322="","",IF(M322&lt;0,N(Z321)+1,0))</f>
        <v/>
      </c>
    </row>
    <row r="323">
      <c r="H323" s="7" t="n"/>
      <c r="I323" s="7" t="n"/>
      <c r="J323" s="7" t="n"/>
      <c r="K323" s="7" t="n"/>
      <c r="M323" s="8" t="n"/>
      <c r="P323" s="9" t="n"/>
      <c r="Q323" s="10" t="n"/>
      <c r="R323" s="10" t="n"/>
      <c r="S323" s="11" t="n"/>
      <c r="U323" s="12">
        <f>IF(OR(H323="",I323=""),"",ROUND(Settings!$B$4/ABS(H323-I323),2))</f>
        <v/>
      </c>
      <c r="V323" s="13">
        <f>IF(M323="","",ROUND(M323*Settings!$B$4,2))</f>
        <v/>
      </c>
      <c r="W323" s="12">
        <f>IF(M323="","",SUM($M$2:M323))</f>
        <v/>
      </c>
      <c r="X323" s="12">
        <f>IF(M323="","",MAX(0,N(X322),W323))</f>
        <v/>
      </c>
      <c r="Y323" s="12">
        <f>IF(M323="","",X323-W323)</f>
        <v/>
      </c>
      <c r="Z323" s="12">
        <f>IF(M323="","",IF(M323&lt;0,N(Z322)+1,0))</f>
        <v/>
      </c>
    </row>
    <row r="324">
      <c r="H324" s="7" t="n"/>
      <c r="I324" s="7" t="n"/>
      <c r="J324" s="7" t="n"/>
      <c r="K324" s="7" t="n"/>
      <c r="M324" s="8" t="n"/>
      <c r="P324" s="9" t="n"/>
      <c r="Q324" s="10" t="n"/>
      <c r="R324" s="10" t="n"/>
      <c r="S324" s="11" t="n"/>
      <c r="U324" s="12">
        <f>IF(OR(H324="",I324=""),"",ROUND(Settings!$B$4/ABS(H324-I324),2))</f>
        <v/>
      </c>
      <c r="V324" s="13">
        <f>IF(M324="","",ROUND(M324*Settings!$B$4,2))</f>
        <v/>
      </c>
      <c r="W324" s="12">
        <f>IF(M324="","",SUM($M$2:M324))</f>
        <v/>
      </c>
      <c r="X324" s="12">
        <f>IF(M324="","",MAX(0,N(X323),W324))</f>
        <v/>
      </c>
      <c r="Y324" s="12">
        <f>IF(M324="","",X324-W324)</f>
        <v/>
      </c>
      <c r="Z324" s="12">
        <f>IF(M324="","",IF(M324&lt;0,N(Z323)+1,0))</f>
        <v/>
      </c>
    </row>
    <row r="325">
      <c r="H325" s="7" t="n"/>
      <c r="I325" s="7" t="n"/>
      <c r="J325" s="7" t="n"/>
      <c r="K325" s="7" t="n"/>
      <c r="M325" s="8" t="n"/>
      <c r="P325" s="9" t="n"/>
      <c r="Q325" s="10" t="n"/>
      <c r="R325" s="10" t="n"/>
      <c r="S325" s="11" t="n"/>
      <c r="U325" s="12">
        <f>IF(OR(H325="",I325=""),"",ROUND(Settings!$B$4/ABS(H325-I325),2))</f>
        <v/>
      </c>
      <c r="V325" s="13">
        <f>IF(M325="","",ROUND(M325*Settings!$B$4,2))</f>
        <v/>
      </c>
      <c r="W325" s="12">
        <f>IF(M325="","",SUM($M$2:M325))</f>
        <v/>
      </c>
      <c r="X325" s="12">
        <f>IF(M325="","",MAX(0,N(X324),W325))</f>
        <v/>
      </c>
      <c r="Y325" s="12">
        <f>IF(M325="","",X325-W325)</f>
        <v/>
      </c>
      <c r="Z325" s="12">
        <f>IF(M325="","",IF(M325&lt;0,N(Z324)+1,0))</f>
        <v/>
      </c>
    </row>
    <row r="326">
      <c r="H326" s="7" t="n"/>
      <c r="I326" s="7" t="n"/>
      <c r="J326" s="7" t="n"/>
      <c r="K326" s="7" t="n"/>
      <c r="M326" s="8" t="n"/>
      <c r="P326" s="9" t="n"/>
      <c r="Q326" s="10" t="n"/>
      <c r="R326" s="10" t="n"/>
      <c r="S326" s="11" t="n"/>
      <c r="U326" s="12">
        <f>IF(OR(H326="",I326=""),"",ROUND(Settings!$B$4/ABS(H326-I326),2))</f>
        <v/>
      </c>
      <c r="V326" s="13">
        <f>IF(M326="","",ROUND(M326*Settings!$B$4,2))</f>
        <v/>
      </c>
      <c r="W326" s="12">
        <f>IF(M326="","",SUM($M$2:M326))</f>
        <v/>
      </c>
      <c r="X326" s="12">
        <f>IF(M326="","",MAX(0,N(X325),W326))</f>
        <v/>
      </c>
      <c r="Y326" s="12">
        <f>IF(M326="","",X326-W326)</f>
        <v/>
      </c>
      <c r="Z326" s="12">
        <f>IF(M326="","",IF(M326&lt;0,N(Z325)+1,0))</f>
        <v/>
      </c>
    </row>
    <row r="327">
      <c r="H327" s="7" t="n"/>
      <c r="I327" s="7" t="n"/>
      <c r="J327" s="7" t="n"/>
      <c r="K327" s="7" t="n"/>
      <c r="M327" s="8" t="n"/>
      <c r="P327" s="9" t="n"/>
      <c r="Q327" s="10" t="n"/>
      <c r="R327" s="10" t="n"/>
      <c r="S327" s="11" t="n"/>
      <c r="U327" s="12">
        <f>IF(OR(H327="",I327=""),"",ROUND(Settings!$B$4/ABS(H327-I327),2))</f>
        <v/>
      </c>
      <c r="V327" s="13">
        <f>IF(M327="","",ROUND(M327*Settings!$B$4,2))</f>
        <v/>
      </c>
      <c r="W327" s="12">
        <f>IF(M327="","",SUM($M$2:M327))</f>
        <v/>
      </c>
      <c r="X327" s="12">
        <f>IF(M327="","",MAX(0,N(X326),W327))</f>
        <v/>
      </c>
      <c r="Y327" s="12">
        <f>IF(M327="","",X327-W327)</f>
        <v/>
      </c>
      <c r="Z327" s="12">
        <f>IF(M327="","",IF(M327&lt;0,N(Z326)+1,0))</f>
        <v/>
      </c>
    </row>
    <row r="328">
      <c r="H328" s="7" t="n"/>
      <c r="I328" s="7" t="n"/>
      <c r="J328" s="7" t="n"/>
      <c r="K328" s="7" t="n"/>
      <c r="M328" s="8" t="n"/>
      <c r="P328" s="9" t="n"/>
      <c r="Q328" s="10" t="n"/>
      <c r="R328" s="10" t="n"/>
      <c r="S328" s="11" t="n"/>
      <c r="U328" s="12">
        <f>IF(OR(H328="",I328=""),"",ROUND(Settings!$B$4/ABS(H328-I328),2))</f>
        <v/>
      </c>
      <c r="V328" s="13">
        <f>IF(M328="","",ROUND(M328*Settings!$B$4,2))</f>
        <v/>
      </c>
      <c r="W328" s="12">
        <f>IF(M328="","",SUM($M$2:M328))</f>
        <v/>
      </c>
      <c r="X328" s="12">
        <f>IF(M328="","",MAX(0,N(X327),W328))</f>
        <v/>
      </c>
      <c r="Y328" s="12">
        <f>IF(M328="","",X328-W328)</f>
        <v/>
      </c>
      <c r="Z328" s="12">
        <f>IF(M328="","",IF(M328&lt;0,N(Z327)+1,0))</f>
        <v/>
      </c>
    </row>
    <row r="329">
      <c r="H329" s="7" t="n"/>
      <c r="I329" s="7" t="n"/>
      <c r="J329" s="7" t="n"/>
      <c r="K329" s="7" t="n"/>
      <c r="M329" s="8" t="n"/>
      <c r="P329" s="9" t="n"/>
      <c r="Q329" s="10" t="n"/>
      <c r="R329" s="10" t="n"/>
      <c r="S329" s="11" t="n"/>
      <c r="U329" s="12">
        <f>IF(OR(H329="",I329=""),"",ROUND(Settings!$B$4/ABS(H329-I329),2))</f>
        <v/>
      </c>
      <c r="V329" s="13">
        <f>IF(M329="","",ROUND(M329*Settings!$B$4,2))</f>
        <v/>
      </c>
      <c r="W329" s="12">
        <f>IF(M329="","",SUM($M$2:M329))</f>
        <v/>
      </c>
      <c r="X329" s="12">
        <f>IF(M329="","",MAX(0,N(X328),W329))</f>
        <v/>
      </c>
      <c r="Y329" s="12">
        <f>IF(M329="","",X329-W329)</f>
        <v/>
      </c>
      <c r="Z329" s="12">
        <f>IF(M329="","",IF(M329&lt;0,N(Z328)+1,0))</f>
        <v/>
      </c>
    </row>
    <row r="330">
      <c r="H330" s="7" t="n"/>
      <c r="I330" s="7" t="n"/>
      <c r="J330" s="7" t="n"/>
      <c r="K330" s="7" t="n"/>
      <c r="M330" s="8" t="n"/>
      <c r="P330" s="9" t="n"/>
      <c r="Q330" s="10" t="n"/>
      <c r="R330" s="10" t="n"/>
      <c r="S330" s="11" t="n"/>
      <c r="U330" s="12">
        <f>IF(OR(H330="",I330=""),"",ROUND(Settings!$B$4/ABS(H330-I330),2))</f>
        <v/>
      </c>
      <c r="V330" s="13">
        <f>IF(M330="","",ROUND(M330*Settings!$B$4,2))</f>
        <v/>
      </c>
      <c r="W330" s="12">
        <f>IF(M330="","",SUM($M$2:M330))</f>
        <v/>
      </c>
      <c r="X330" s="12">
        <f>IF(M330="","",MAX(0,N(X329),W330))</f>
        <v/>
      </c>
      <c r="Y330" s="12">
        <f>IF(M330="","",X330-W330)</f>
        <v/>
      </c>
      <c r="Z330" s="12">
        <f>IF(M330="","",IF(M330&lt;0,N(Z329)+1,0))</f>
        <v/>
      </c>
    </row>
    <row r="331">
      <c r="H331" s="7" t="n"/>
      <c r="I331" s="7" t="n"/>
      <c r="J331" s="7" t="n"/>
      <c r="K331" s="7" t="n"/>
      <c r="M331" s="8" t="n"/>
      <c r="P331" s="9" t="n"/>
      <c r="Q331" s="10" t="n"/>
      <c r="R331" s="10" t="n"/>
      <c r="S331" s="11" t="n"/>
      <c r="U331" s="12">
        <f>IF(OR(H331="",I331=""),"",ROUND(Settings!$B$4/ABS(H331-I331),2))</f>
        <v/>
      </c>
      <c r="V331" s="13">
        <f>IF(M331="","",ROUND(M331*Settings!$B$4,2))</f>
        <v/>
      </c>
      <c r="W331" s="12">
        <f>IF(M331="","",SUM($M$2:M331))</f>
        <v/>
      </c>
      <c r="X331" s="12">
        <f>IF(M331="","",MAX(0,N(X330),W331))</f>
        <v/>
      </c>
      <c r="Y331" s="12">
        <f>IF(M331="","",X331-W331)</f>
        <v/>
      </c>
      <c r="Z331" s="12">
        <f>IF(M331="","",IF(M331&lt;0,N(Z330)+1,0))</f>
        <v/>
      </c>
    </row>
    <row r="332">
      <c r="H332" s="7" t="n"/>
      <c r="I332" s="7" t="n"/>
      <c r="J332" s="7" t="n"/>
      <c r="K332" s="7" t="n"/>
      <c r="M332" s="8" t="n"/>
      <c r="P332" s="9" t="n"/>
      <c r="Q332" s="10" t="n"/>
      <c r="R332" s="10" t="n"/>
      <c r="S332" s="11" t="n"/>
      <c r="U332" s="12">
        <f>IF(OR(H332="",I332=""),"",ROUND(Settings!$B$4/ABS(H332-I332),2))</f>
        <v/>
      </c>
      <c r="V332" s="13">
        <f>IF(M332="","",ROUND(M332*Settings!$B$4,2))</f>
        <v/>
      </c>
      <c r="W332" s="12">
        <f>IF(M332="","",SUM($M$2:M332))</f>
        <v/>
      </c>
      <c r="X332" s="12">
        <f>IF(M332="","",MAX(0,N(X331),W332))</f>
        <v/>
      </c>
      <c r="Y332" s="12">
        <f>IF(M332="","",X332-W332)</f>
        <v/>
      </c>
      <c r="Z332" s="12">
        <f>IF(M332="","",IF(M332&lt;0,N(Z331)+1,0))</f>
        <v/>
      </c>
    </row>
    <row r="333">
      <c r="H333" s="7" t="n"/>
      <c r="I333" s="7" t="n"/>
      <c r="J333" s="7" t="n"/>
      <c r="K333" s="7" t="n"/>
      <c r="M333" s="8" t="n"/>
      <c r="P333" s="9" t="n"/>
      <c r="Q333" s="10" t="n"/>
      <c r="R333" s="10" t="n"/>
      <c r="S333" s="11" t="n"/>
      <c r="U333" s="12">
        <f>IF(OR(H333="",I333=""),"",ROUND(Settings!$B$4/ABS(H333-I333),2))</f>
        <v/>
      </c>
      <c r="V333" s="13">
        <f>IF(M333="","",ROUND(M333*Settings!$B$4,2))</f>
        <v/>
      </c>
      <c r="W333" s="12">
        <f>IF(M333="","",SUM($M$2:M333))</f>
        <v/>
      </c>
      <c r="X333" s="12">
        <f>IF(M333="","",MAX(0,N(X332),W333))</f>
        <v/>
      </c>
      <c r="Y333" s="12">
        <f>IF(M333="","",X333-W333)</f>
        <v/>
      </c>
      <c r="Z333" s="12">
        <f>IF(M333="","",IF(M333&lt;0,N(Z332)+1,0))</f>
        <v/>
      </c>
    </row>
    <row r="334">
      <c r="H334" s="7" t="n"/>
      <c r="I334" s="7" t="n"/>
      <c r="J334" s="7" t="n"/>
      <c r="K334" s="7" t="n"/>
      <c r="M334" s="8" t="n"/>
      <c r="P334" s="9" t="n"/>
      <c r="Q334" s="10" t="n"/>
      <c r="R334" s="10" t="n"/>
      <c r="S334" s="11" t="n"/>
      <c r="U334" s="12">
        <f>IF(OR(H334="",I334=""),"",ROUND(Settings!$B$4/ABS(H334-I334),2))</f>
        <v/>
      </c>
      <c r="V334" s="13">
        <f>IF(M334="","",ROUND(M334*Settings!$B$4,2))</f>
        <v/>
      </c>
      <c r="W334" s="12">
        <f>IF(M334="","",SUM($M$2:M334))</f>
        <v/>
      </c>
      <c r="X334" s="12">
        <f>IF(M334="","",MAX(0,N(X333),W334))</f>
        <v/>
      </c>
      <c r="Y334" s="12">
        <f>IF(M334="","",X334-W334)</f>
        <v/>
      </c>
      <c r="Z334" s="12">
        <f>IF(M334="","",IF(M334&lt;0,N(Z333)+1,0))</f>
        <v/>
      </c>
    </row>
    <row r="335">
      <c r="H335" s="7" t="n"/>
      <c r="I335" s="7" t="n"/>
      <c r="J335" s="7" t="n"/>
      <c r="K335" s="7" t="n"/>
      <c r="M335" s="8" t="n"/>
      <c r="P335" s="9" t="n"/>
      <c r="Q335" s="10" t="n"/>
      <c r="R335" s="10" t="n"/>
      <c r="S335" s="11" t="n"/>
      <c r="U335" s="12">
        <f>IF(OR(H335="",I335=""),"",ROUND(Settings!$B$4/ABS(H335-I335),2))</f>
        <v/>
      </c>
      <c r="V335" s="13">
        <f>IF(M335="","",ROUND(M335*Settings!$B$4,2))</f>
        <v/>
      </c>
      <c r="W335" s="12">
        <f>IF(M335="","",SUM($M$2:M335))</f>
        <v/>
      </c>
      <c r="X335" s="12">
        <f>IF(M335="","",MAX(0,N(X334),W335))</f>
        <v/>
      </c>
      <c r="Y335" s="12">
        <f>IF(M335="","",X335-W335)</f>
        <v/>
      </c>
      <c r="Z335" s="12">
        <f>IF(M335="","",IF(M335&lt;0,N(Z334)+1,0))</f>
        <v/>
      </c>
    </row>
    <row r="336">
      <c r="H336" s="7" t="n"/>
      <c r="I336" s="7" t="n"/>
      <c r="J336" s="7" t="n"/>
      <c r="K336" s="7" t="n"/>
      <c r="M336" s="8" t="n"/>
      <c r="P336" s="9" t="n"/>
      <c r="Q336" s="10" t="n"/>
      <c r="R336" s="10" t="n"/>
      <c r="S336" s="11" t="n"/>
      <c r="U336" s="12">
        <f>IF(OR(H336="",I336=""),"",ROUND(Settings!$B$4/ABS(H336-I336),2))</f>
        <v/>
      </c>
      <c r="V336" s="13">
        <f>IF(M336="","",ROUND(M336*Settings!$B$4,2))</f>
        <v/>
      </c>
      <c r="W336" s="12">
        <f>IF(M336="","",SUM($M$2:M336))</f>
        <v/>
      </c>
      <c r="X336" s="12">
        <f>IF(M336="","",MAX(0,N(X335),W336))</f>
        <v/>
      </c>
      <c r="Y336" s="12">
        <f>IF(M336="","",X336-W336)</f>
        <v/>
      </c>
      <c r="Z336" s="12">
        <f>IF(M336="","",IF(M336&lt;0,N(Z335)+1,0))</f>
        <v/>
      </c>
    </row>
    <row r="337">
      <c r="H337" s="7" t="n"/>
      <c r="I337" s="7" t="n"/>
      <c r="J337" s="7" t="n"/>
      <c r="K337" s="7" t="n"/>
      <c r="M337" s="8" t="n"/>
      <c r="P337" s="9" t="n"/>
      <c r="Q337" s="10" t="n"/>
      <c r="R337" s="10" t="n"/>
      <c r="S337" s="11" t="n"/>
      <c r="U337" s="12">
        <f>IF(OR(H337="",I337=""),"",ROUND(Settings!$B$4/ABS(H337-I337),2))</f>
        <v/>
      </c>
      <c r="V337" s="13">
        <f>IF(M337="","",ROUND(M337*Settings!$B$4,2))</f>
        <v/>
      </c>
      <c r="W337" s="12">
        <f>IF(M337="","",SUM($M$2:M337))</f>
        <v/>
      </c>
      <c r="X337" s="12">
        <f>IF(M337="","",MAX(0,N(X336),W337))</f>
        <v/>
      </c>
      <c r="Y337" s="12">
        <f>IF(M337="","",X337-W337)</f>
        <v/>
      </c>
      <c r="Z337" s="12">
        <f>IF(M337="","",IF(M337&lt;0,N(Z336)+1,0))</f>
        <v/>
      </c>
    </row>
    <row r="338">
      <c r="H338" s="7" t="n"/>
      <c r="I338" s="7" t="n"/>
      <c r="J338" s="7" t="n"/>
      <c r="K338" s="7" t="n"/>
      <c r="M338" s="8" t="n"/>
      <c r="P338" s="9" t="n"/>
      <c r="Q338" s="10" t="n"/>
      <c r="R338" s="10" t="n"/>
      <c r="S338" s="11" t="n"/>
      <c r="U338" s="12">
        <f>IF(OR(H338="",I338=""),"",ROUND(Settings!$B$4/ABS(H338-I338),2))</f>
        <v/>
      </c>
      <c r="V338" s="13">
        <f>IF(M338="","",ROUND(M338*Settings!$B$4,2))</f>
        <v/>
      </c>
      <c r="W338" s="12">
        <f>IF(M338="","",SUM($M$2:M338))</f>
        <v/>
      </c>
      <c r="X338" s="12">
        <f>IF(M338="","",MAX(0,N(X337),W338))</f>
        <v/>
      </c>
      <c r="Y338" s="12">
        <f>IF(M338="","",X338-W338)</f>
        <v/>
      </c>
      <c r="Z338" s="12">
        <f>IF(M338="","",IF(M338&lt;0,N(Z337)+1,0))</f>
        <v/>
      </c>
    </row>
    <row r="339">
      <c r="H339" s="7" t="n"/>
      <c r="I339" s="7" t="n"/>
      <c r="J339" s="7" t="n"/>
      <c r="K339" s="7" t="n"/>
      <c r="M339" s="8" t="n"/>
      <c r="P339" s="9" t="n"/>
      <c r="Q339" s="10" t="n"/>
      <c r="R339" s="10" t="n"/>
      <c r="S339" s="11" t="n"/>
      <c r="U339" s="12">
        <f>IF(OR(H339="",I339=""),"",ROUND(Settings!$B$4/ABS(H339-I339),2))</f>
        <v/>
      </c>
      <c r="V339" s="13">
        <f>IF(M339="","",ROUND(M339*Settings!$B$4,2))</f>
        <v/>
      </c>
      <c r="W339" s="12">
        <f>IF(M339="","",SUM($M$2:M339))</f>
        <v/>
      </c>
      <c r="X339" s="12">
        <f>IF(M339="","",MAX(0,N(X338),W339))</f>
        <v/>
      </c>
      <c r="Y339" s="12">
        <f>IF(M339="","",X339-W339)</f>
        <v/>
      </c>
      <c r="Z339" s="12">
        <f>IF(M339="","",IF(M339&lt;0,N(Z338)+1,0))</f>
        <v/>
      </c>
    </row>
    <row r="340">
      <c r="H340" s="7" t="n"/>
      <c r="I340" s="7" t="n"/>
      <c r="J340" s="7" t="n"/>
      <c r="K340" s="7" t="n"/>
      <c r="M340" s="8" t="n"/>
      <c r="P340" s="9" t="n"/>
      <c r="Q340" s="10" t="n"/>
      <c r="R340" s="10" t="n"/>
      <c r="S340" s="11" t="n"/>
      <c r="U340" s="12">
        <f>IF(OR(H340="",I340=""),"",ROUND(Settings!$B$4/ABS(H340-I340),2))</f>
        <v/>
      </c>
      <c r="V340" s="13">
        <f>IF(M340="","",ROUND(M340*Settings!$B$4,2))</f>
        <v/>
      </c>
      <c r="W340" s="12">
        <f>IF(M340="","",SUM($M$2:M340))</f>
        <v/>
      </c>
      <c r="X340" s="12">
        <f>IF(M340="","",MAX(0,N(X339),W340))</f>
        <v/>
      </c>
      <c r="Y340" s="12">
        <f>IF(M340="","",X340-W340)</f>
        <v/>
      </c>
      <c r="Z340" s="12">
        <f>IF(M340="","",IF(M340&lt;0,N(Z339)+1,0))</f>
        <v/>
      </c>
    </row>
    <row r="341">
      <c r="H341" s="7" t="n"/>
      <c r="I341" s="7" t="n"/>
      <c r="J341" s="7" t="n"/>
      <c r="K341" s="7" t="n"/>
      <c r="M341" s="8" t="n"/>
      <c r="P341" s="9" t="n"/>
      <c r="Q341" s="10" t="n"/>
      <c r="R341" s="10" t="n"/>
      <c r="S341" s="11" t="n"/>
      <c r="U341" s="12">
        <f>IF(OR(H341="",I341=""),"",ROUND(Settings!$B$4/ABS(H341-I341),2))</f>
        <v/>
      </c>
      <c r="V341" s="13">
        <f>IF(M341="","",ROUND(M341*Settings!$B$4,2))</f>
        <v/>
      </c>
      <c r="W341" s="12">
        <f>IF(M341="","",SUM($M$2:M341))</f>
        <v/>
      </c>
      <c r="X341" s="12">
        <f>IF(M341="","",MAX(0,N(X340),W341))</f>
        <v/>
      </c>
      <c r="Y341" s="12">
        <f>IF(M341="","",X341-W341)</f>
        <v/>
      </c>
      <c r="Z341" s="12">
        <f>IF(M341="","",IF(M341&lt;0,N(Z340)+1,0))</f>
        <v/>
      </c>
    </row>
    <row r="342">
      <c r="H342" s="7" t="n"/>
      <c r="I342" s="7" t="n"/>
      <c r="J342" s="7" t="n"/>
      <c r="K342" s="7" t="n"/>
      <c r="M342" s="8" t="n"/>
      <c r="P342" s="9" t="n"/>
      <c r="Q342" s="10" t="n"/>
      <c r="R342" s="10" t="n"/>
      <c r="S342" s="11" t="n"/>
      <c r="U342" s="12">
        <f>IF(OR(H342="",I342=""),"",ROUND(Settings!$B$4/ABS(H342-I342),2))</f>
        <v/>
      </c>
      <c r="V342" s="13">
        <f>IF(M342="","",ROUND(M342*Settings!$B$4,2))</f>
        <v/>
      </c>
      <c r="W342" s="12">
        <f>IF(M342="","",SUM($M$2:M342))</f>
        <v/>
      </c>
      <c r="X342" s="12">
        <f>IF(M342="","",MAX(0,N(X341),W342))</f>
        <v/>
      </c>
      <c r="Y342" s="12">
        <f>IF(M342="","",X342-W342)</f>
        <v/>
      </c>
      <c r="Z342" s="12">
        <f>IF(M342="","",IF(M342&lt;0,N(Z341)+1,0))</f>
        <v/>
      </c>
    </row>
    <row r="343">
      <c r="H343" s="7" t="n"/>
      <c r="I343" s="7" t="n"/>
      <c r="J343" s="7" t="n"/>
      <c r="K343" s="7" t="n"/>
      <c r="M343" s="8" t="n"/>
      <c r="P343" s="9" t="n"/>
      <c r="Q343" s="10" t="n"/>
      <c r="R343" s="10" t="n"/>
      <c r="S343" s="11" t="n"/>
      <c r="U343" s="12">
        <f>IF(OR(H343="",I343=""),"",ROUND(Settings!$B$4/ABS(H343-I343),2))</f>
        <v/>
      </c>
      <c r="V343" s="13">
        <f>IF(M343="","",ROUND(M343*Settings!$B$4,2))</f>
        <v/>
      </c>
      <c r="W343" s="12">
        <f>IF(M343="","",SUM($M$2:M343))</f>
        <v/>
      </c>
      <c r="X343" s="12">
        <f>IF(M343="","",MAX(0,N(X342),W343))</f>
        <v/>
      </c>
      <c r="Y343" s="12">
        <f>IF(M343="","",X343-W343)</f>
        <v/>
      </c>
      <c r="Z343" s="12">
        <f>IF(M343="","",IF(M343&lt;0,N(Z342)+1,0))</f>
        <v/>
      </c>
    </row>
    <row r="344">
      <c r="H344" s="7" t="n"/>
      <c r="I344" s="7" t="n"/>
      <c r="J344" s="7" t="n"/>
      <c r="K344" s="7" t="n"/>
      <c r="M344" s="8" t="n"/>
      <c r="P344" s="9" t="n"/>
      <c r="Q344" s="10" t="n"/>
      <c r="R344" s="10" t="n"/>
      <c r="S344" s="11" t="n"/>
      <c r="U344" s="12">
        <f>IF(OR(H344="",I344=""),"",ROUND(Settings!$B$4/ABS(H344-I344),2))</f>
        <v/>
      </c>
      <c r="V344" s="13">
        <f>IF(M344="","",ROUND(M344*Settings!$B$4,2))</f>
        <v/>
      </c>
      <c r="W344" s="12">
        <f>IF(M344="","",SUM($M$2:M344))</f>
        <v/>
      </c>
      <c r="X344" s="12">
        <f>IF(M344="","",MAX(0,N(X343),W344))</f>
        <v/>
      </c>
      <c r="Y344" s="12">
        <f>IF(M344="","",X344-W344)</f>
        <v/>
      </c>
      <c r="Z344" s="12">
        <f>IF(M344="","",IF(M344&lt;0,N(Z343)+1,0))</f>
        <v/>
      </c>
    </row>
    <row r="345">
      <c r="H345" s="7" t="n"/>
      <c r="I345" s="7" t="n"/>
      <c r="J345" s="7" t="n"/>
      <c r="K345" s="7" t="n"/>
      <c r="M345" s="8" t="n"/>
      <c r="P345" s="9" t="n"/>
      <c r="Q345" s="10" t="n"/>
      <c r="R345" s="10" t="n"/>
      <c r="S345" s="11" t="n"/>
      <c r="U345" s="12">
        <f>IF(OR(H345="",I345=""),"",ROUND(Settings!$B$4/ABS(H345-I345),2))</f>
        <v/>
      </c>
      <c r="V345" s="13">
        <f>IF(M345="","",ROUND(M345*Settings!$B$4,2))</f>
        <v/>
      </c>
      <c r="W345" s="12">
        <f>IF(M345="","",SUM($M$2:M345))</f>
        <v/>
      </c>
      <c r="X345" s="12">
        <f>IF(M345="","",MAX(0,N(X344),W345))</f>
        <v/>
      </c>
      <c r="Y345" s="12">
        <f>IF(M345="","",X345-W345)</f>
        <v/>
      </c>
      <c r="Z345" s="12">
        <f>IF(M345="","",IF(M345&lt;0,N(Z344)+1,0))</f>
        <v/>
      </c>
    </row>
    <row r="346">
      <c r="H346" s="7" t="n"/>
      <c r="I346" s="7" t="n"/>
      <c r="J346" s="7" t="n"/>
      <c r="K346" s="7" t="n"/>
      <c r="M346" s="8" t="n"/>
      <c r="P346" s="9" t="n"/>
      <c r="Q346" s="10" t="n"/>
      <c r="R346" s="10" t="n"/>
      <c r="S346" s="11" t="n"/>
      <c r="U346" s="12">
        <f>IF(OR(H346="",I346=""),"",ROUND(Settings!$B$4/ABS(H346-I346),2))</f>
        <v/>
      </c>
      <c r="V346" s="13">
        <f>IF(M346="","",ROUND(M346*Settings!$B$4,2))</f>
        <v/>
      </c>
      <c r="W346" s="12">
        <f>IF(M346="","",SUM($M$2:M346))</f>
        <v/>
      </c>
      <c r="X346" s="12">
        <f>IF(M346="","",MAX(0,N(X345),W346))</f>
        <v/>
      </c>
      <c r="Y346" s="12">
        <f>IF(M346="","",X346-W346)</f>
        <v/>
      </c>
      <c r="Z346" s="12">
        <f>IF(M346="","",IF(M346&lt;0,N(Z345)+1,0))</f>
        <v/>
      </c>
    </row>
    <row r="347">
      <c r="H347" s="7" t="n"/>
      <c r="I347" s="7" t="n"/>
      <c r="J347" s="7" t="n"/>
      <c r="K347" s="7" t="n"/>
      <c r="M347" s="8" t="n"/>
      <c r="P347" s="9" t="n"/>
      <c r="Q347" s="10" t="n"/>
      <c r="R347" s="10" t="n"/>
      <c r="S347" s="11" t="n"/>
      <c r="U347" s="12">
        <f>IF(OR(H347="",I347=""),"",ROUND(Settings!$B$4/ABS(H347-I347),2))</f>
        <v/>
      </c>
      <c r="V347" s="13">
        <f>IF(M347="","",ROUND(M347*Settings!$B$4,2))</f>
        <v/>
      </c>
      <c r="W347" s="12">
        <f>IF(M347="","",SUM($M$2:M347))</f>
        <v/>
      </c>
      <c r="X347" s="12">
        <f>IF(M347="","",MAX(0,N(X346),W347))</f>
        <v/>
      </c>
      <c r="Y347" s="12">
        <f>IF(M347="","",X347-W347)</f>
        <v/>
      </c>
      <c r="Z347" s="12">
        <f>IF(M347="","",IF(M347&lt;0,N(Z346)+1,0))</f>
        <v/>
      </c>
    </row>
    <row r="348">
      <c r="H348" s="7" t="n"/>
      <c r="I348" s="7" t="n"/>
      <c r="J348" s="7" t="n"/>
      <c r="K348" s="7" t="n"/>
      <c r="M348" s="8" t="n"/>
      <c r="P348" s="9" t="n"/>
      <c r="Q348" s="10" t="n"/>
      <c r="R348" s="10" t="n"/>
      <c r="S348" s="11" t="n"/>
      <c r="U348" s="12">
        <f>IF(OR(H348="",I348=""),"",ROUND(Settings!$B$4/ABS(H348-I348),2))</f>
        <v/>
      </c>
      <c r="V348" s="13">
        <f>IF(M348="","",ROUND(M348*Settings!$B$4,2))</f>
        <v/>
      </c>
      <c r="W348" s="12">
        <f>IF(M348="","",SUM($M$2:M348))</f>
        <v/>
      </c>
      <c r="X348" s="12">
        <f>IF(M348="","",MAX(0,N(X347),W348))</f>
        <v/>
      </c>
      <c r="Y348" s="12">
        <f>IF(M348="","",X348-W348)</f>
        <v/>
      </c>
      <c r="Z348" s="12">
        <f>IF(M348="","",IF(M348&lt;0,N(Z347)+1,0))</f>
        <v/>
      </c>
    </row>
    <row r="349">
      <c r="H349" s="7" t="n"/>
      <c r="I349" s="7" t="n"/>
      <c r="J349" s="7" t="n"/>
      <c r="K349" s="7" t="n"/>
      <c r="M349" s="8" t="n"/>
      <c r="P349" s="9" t="n"/>
      <c r="Q349" s="10" t="n"/>
      <c r="R349" s="10" t="n"/>
      <c r="S349" s="11" t="n"/>
      <c r="U349" s="12">
        <f>IF(OR(H349="",I349=""),"",ROUND(Settings!$B$4/ABS(H349-I349),2))</f>
        <v/>
      </c>
      <c r="V349" s="13">
        <f>IF(M349="","",ROUND(M349*Settings!$B$4,2))</f>
        <v/>
      </c>
      <c r="W349" s="12">
        <f>IF(M349="","",SUM($M$2:M349))</f>
        <v/>
      </c>
      <c r="X349" s="12">
        <f>IF(M349="","",MAX(0,N(X348),W349))</f>
        <v/>
      </c>
      <c r="Y349" s="12">
        <f>IF(M349="","",X349-W349)</f>
        <v/>
      </c>
      <c r="Z349" s="12">
        <f>IF(M349="","",IF(M349&lt;0,N(Z348)+1,0))</f>
        <v/>
      </c>
    </row>
    <row r="350">
      <c r="H350" s="7" t="n"/>
      <c r="I350" s="7" t="n"/>
      <c r="J350" s="7" t="n"/>
      <c r="K350" s="7" t="n"/>
      <c r="M350" s="8" t="n"/>
      <c r="P350" s="9" t="n"/>
      <c r="Q350" s="10" t="n"/>
      <c r="R350" s="10" t="n"/>
      <c r="S350" s="11" t="n"/>
      <c r="U350" s="12">
        <f>IF(OR(H350="",I350=""),"",ROUND(Settings!$B$4/ABS(H350-I350),2))</f>
        <v/>
      </c>
      <c r="V350" s="13">
        <f>IF(M350="","",ROUND(M350*Settings!$B$4,2))</f>
        <v/>
      </c>
      <c r="W350" s="12">
        <f>IF(M350="","",SUM($M$2:M350))</f>
        <v/>
      </c>
      <c r="X350" s="12">
        <f>IF(M350="","",MAX(0,N(X349),W350))</f>
        <v/>
      </c>
      <c r="Y350" s="12">
        <f>IF(M350="","",X350-W350)</f>
        <v/>
      </c>
      <c r="Z350" s="12">
        <f>IF(M350="","",IF(M350&lt;0,N(Z349)+1,0))</f>
        <v/>
      </c>
    </row>
    <row r="351">
      <c r="H351" s="7" t="n"/>
      <c r="I351" s="7" t="n"/>
      <c r="J351" s="7" t="n"/>
      <c r="K351" s="7" t="n"/>
      <c r="M351" s="8" t="n"/>
      <c r="P351" s="9" t="n"/>
      <c r="Q351" s="10" t="n"/>
      <c r="R351" s="10" t="n"/>
      <c r="S351" s="11" t="n"/>
      <c r="U351" s="12">
        <f>IF(OR(H351="",I351=""),"",ROUND(Settings!$B$4/ABS(H351-I351),2))</f>
        <v/>
      </c>
      <c r="V351" s="13">
        <f>IF(M351="","",ROUND(M351*Settings!$B$4,2))</f>
        <v/>
      </c>
      <c r="W351" s="12">
        <f>IF(M351="","",SUM($M$2:M351))</f>
        <v/>
      </c>
      <c r="X351" s="12">
        <f>IF(M351="","",MAX(0,N(X350),W351))</f>
        <v/>
      </c>
      <c r="Y351" s="12">
        <f>IF(M351="","",X351-W351)</f>
        <v/>
      </c>
      <c r="Z351" s="12">
        <f>IF(M351="","",IF(M351&lt;0,N(Z350)+1,0))</f>
        <v/>
      </c>
    </row>
    <row r="352">
      <c r="H352" s="7" t="n"/>
      <c r="I352" s="7" t="n"/>
      <c r="J352" s="7" t="n"/>
      <c r="K352" s="7" t="n"/>
      <c r="M352" s="8" t="n"/>
      <c r="P352" s="9" t="n"/>
      <c r="Q352" s="10" t="n"/>
      <c r="R352" s="10" t="n"/>
      <c r="S352" s="11" t="n"/>
      <c r="U352" s="12">
        <f>IF(OR(H352="",I352=""),"",ROUND(Settings!$B$4/ABS(H352-I352),2))</f>
        <v/>
      </c>
      <c r="V352" s="13">
        <f>IF(M352="","",ROUND(M352*Settings!$B$4,2))</f>
        <v/>
      </c>
      <c r="W352" s="12">
        <f>IF(M352="","",SUM($M$2:M352))</f>
        <v/>
      </c>
      <c r="X352" s="12">
        <f>IF(M352="","",MAX(0,N(X351),W352))</f>
        <v/>
      </c>
      <c r="Y352" s="12">
        <f>IF(M352="","",X352-W352)</f>
        <v/>
      </c>
      <c r="Z352" s="12">
        <f>IF(M352="","",IF(M352&lt;0,N(Z351)+1,0))</f>
        <v/>
      </c>
    </row>
    <row r="353">
      <c r="H353" s="7" t="n"/>
      <c r="I353" s="7" t="n"/>
      <c r="J353" s="7" t="n"/>
      <c r="K353" s="7" t="n"/>
      <c r="M353" s="8" t="n"/>
      <c r="P353" s="9" t="n"/>
      <c r="Q353" s="10" t="n"/>
      <c r="R353" s="10" t="n"/>
      <c r="S353" s="11" t="n"/>
      <c r="U353" s="12">
        <f>IF(OR(H353="",I353=""),"",ROUND(Settings!$B$4/ABS(H353-I353),2))</f>
        <v/>
      </c>
      <c r="V353" s="13">
        <f>IF(M353="","",ROUND(M353*Settings!$B$4,2))</f>
        <v/>
      </c>
      <c r="W353" s="12">
        <f>IF(M353="","",SUM($M$2:M353))</f>
        <v/>
      </c>
      <c r="X353" s="12">
        <f>IF(M353="","",MAX(0,N(X352),W353))</f>
        <v/>
      </c>
      <c r="Y353" s="12">
        <f>IF(M353="","",X353-W353)</f>
        <v/>
      </c>
      <c r="Z353" s="12">
        <f>IF(M353="","",IF(M353&lt;0,N(Z352)+1,0))</f>
        <v/>
      </c>
    </row>
    <row r="354">
      <c r="H354" s="7" t="n"/>
      <c r="I354" s="7" t="n"/>
      <c r="J354" s="7" t="n"/>
      <c r="K354" s="7" t="n"/>
      <c r="M354" s="8" t="n"/>
      <c r="P354" s="9" t="n"/>
      <c r="Q354" s="10" t="n"/>
      <c r="R354" s="10" t="n"/>
      <c r="S354" s="11" t="n"/>
      <c r="U354" s="12">
        <f>IF(OR(H354="",I354=""),"",ROUND(Settings!$B$4/ABS(H354-I354),2))</f>
        <v/>
      </c>
      <c r="V354" s="13">
        <f>IF(M354="","",ROUND(M354*Settings!$B$4,2))</f>
        <v/>
      </c>
      <c r="W354" s="12">
        <f>IF(M354="","",SUM($M$2:M354))</f>
        <v/>
      </c>
      <c r="X354" s="12">
        <f>IF(M354="","",MAX(0,N(X353),W354))</f>
        <v/>
      </c>
      <c r="Y354" s="12">
        <f>IF(M354="","",X354-W354)</f>
        <v/>
      </c>
      <c r="Z354" s="12">
        <f>IF(M354="","",IF(M354&lt;0,N(Z353)+1,0))</f>
        <v/>
      </c>
    </row>
    <row r="355">
      <c r="H355" s="7" t="n"/>
      <c r="I355" s="7" t="n"/>
      <c r="J355" s="7" t="n"/>
      <c r="K355" s="7" t="n"/>
      <c r="M355" s="8" t="n"/>
      <c r="P355" s="9" t="n"/>
      <c r="Q355" s="10" t="n"/>
      <c r="R355" s="10" t="n"/>
      <c r="S355" s="11" t="n"/>
      <c r="U355" s="12">
        <f>IF(OR(H355="",I355=""),"",ROUND(Settings!$B$4/ABS(H355-I355),2))</f>
        <v/>
      </c>
      <c r="V355" s="13">
        <f>IF(M355="","",ROUND(M355*Settings!$B$4,2))</f>
        <v/>
      </c>
      <c r="W355" s="12">
        <f>IF(M355="","",SUM($M$2:M355))</f>
        <v/>
      </c>
      <c r="X355" s="12">
        <f>IF(M355="","",MAX(0,N(X354),W355))</f>
        <v/>
      </c>
      <c r="Y355" s="12">
        <f>IF(M355="","",X355-W355)</f>
        <v/>
      </c>
      <c r="Z355" s="12">
        <f>IF(M355="","",IF(M355&lt;0,N(Z354)+1,0))</f>
        <v/>
      </c>
    </row>
    <row r="356">
      <c r="H356" s="7" t="n"/>
      <c r="I356" s="7" t="n"/>
      <c r="J356" s="7" t="n"/>
      <c r="K356" s="7" t="n"/>
      <c r="M356" s="8" t="n"/>
      <c r="P356" s="9" t="n"/>
      <c r="Q356" s="10" t="n"/>
      <c r="R356" s="10" t="n"/>
      <c r="S356" s="11" t="n"/>
      <c r="U356" s="12">
        <f>IF(OR(H356="",I356=""),"",ROUND(Settings!$B$4/ABS(H356-I356),2))</f>
        <v/>
      </c>
      <c r="V356" s="13">
        <f>IF(M356="","",ROUND(M356*Settings!$B$4,2))</f>
        <v/>
      </c>
      <c r="W356" s="12">
        <f>IF(M356="","",SUM($M$2:M356))</f>
        <v/>
      </c>
      <c r="X356" s="12">
        <f>IF(M356="","",MAX(0,N(X355),W356))</f>
        <v/>
      </c>
      <c r="Y356" s="12">
        <f>IF(M356="","",X356-W356)</f>
        <v/>
      </c>
      <c r="Z356" s="12">
        <f>IF(M356="","",IF(M356&lt;0,N(Z355)+1,0))</f>
        <v/>
      </c>
    </row>
    <row r="357">
      <c r="H357" s="7" t="n"/>
      <c r="I357" s="7" t="n"/>
      <c r="J357" s="7" t="n"/>
      <c r="K357" s="7" t="n"/>
      <c r="M357" s="8" t="n"/>
      <c r="P357" s="9" t="n"/>
      <c r="Q357" s="10" t="n"/>
      <c r="R357" s="10" t="n"/>
      <c r="S357" s="11" t="n"/>
      <c r="U357" s="12">
        <f>IF(OR(H357="",I357=""),"",ROUND(Settings!$B$4/ABS(H357-I357),2))</f>
        <v/>
      </c>
      <c r="V357" s="13">
        <f>IF(M357="","",ROUND(M357*Settings!$B$4,2))</f>
        <v/>
      </c>
      <c r="W357" s="12">
        <f>IF(M357="","",SUM($M$2:M357))</f>
        <v/>
      </c>
      <c r="X357" s="12">
        <f>IF(M357="","",MAX(0,N(X356),W357))</f>
        <v/>
      </c>
      <c r="Y357" s="12">
        <f>IF(M357="","",X357-W357)</f>
        <v/>
      </c>
      <c r="Z357" s="12">
        <f>IF(M357="","",IF(M357&lt;0,N(Z356)+1,0))</f>
        <v/>
      </c>
    </row>
    <row r="358">
      <c r="H358" s="7" t="n"/>
      <c r="I358" s="7" t="n"/>
      <c r="J358" s="7" t="n"/>
      <c r="K358" s="7" t="n"/>
      <c r="M358" s="8" t="n"/>
      <c r="P358" s="9" t="n"/>
      <c r="Q358" s="10" t="n"/>
      <c r="R358" s="10" t="n"/>
      <c r="S358" s="11" t="n"/>
      <c r="U358" s="12">
        <f>IF(OR(H358="",I358=""),"",ROUND(Settings!$B$4/ABS(H358-I358),2))</f>
        <v/>
      </c>
      <c r="V358" s="13">
        <f>IF(M358="","",ROUND(M358*Settings!$B$4,2))</f>
        <v/>
      </c>
      <c r="W358" s="12">
        <f>IF(M358="","",SUM($M$2:M358))</f>
        <v/>
      </c>
      <c r="X358" s="12">
        <f>IF(M358="","",MAX(0,N(X357),W358))</f>
        <v/>
      </c>
      <c r="Y358" s="12">
        <f>IF(M358="","",X358-W358)</f>
        <v/>
      </c>
      <c r="Z358" s="12">
        <f>IF(M358="","",IF(M358&lt;0,N(Z357)+1,0))</f>
        <v/>
      </c>
    </row>
    <row r="359">
      <c r="H359" s="7" t="n"/>
      <c r="I359" s="7" t="n"/>
      <c r="J359" s="7" t="n"/>
      <c r="K359" s="7" t="n"/>
      <c r="M359" s="8" t="n"/>
      <c r="P359" s="9" t="n"/>
      <c r="Q359" s="10" t="n"/>
      <c r="R359" s="10" t="n"/>
      <c r="S359" s="11" t="n"/>
      <c r="U359" s="12">
        <f>IF(OR(H359="",I359=""),"",ROUND(Settings!$B$4/ABS(H359-I359),2))</f>
        <v/>
      </c>
      <c r="V359" s="13">
        <f>IF(M359="","",ROUND(M359*Settings!$B$4,2))</f>
        <v/>
      </c>
      <c r="W359" s="12">
        <f>IF(M359="","",SUM($M$2:M359))</f>
        <v/>
      </c>
      <c r="X359" s="12">
        <f>IF(M359="","",MAX(0,N(X358),W359))</f>
        <v/>
      </c>
      <c r="Y359" s="12">
        <f>IF(M359="","",X359-W359)</f>
        <v/>
      </c>
      <c r="Z359" s="12">
        <f>IF(M359="","",IF(M359&lt;0,N(Z358)+1,0))</f>
        <v/>
      </c>
    </row>
    <row r="360">
      <c r="H360" s="7" t="n"/>
      <c r="I360" s="7" t="n"/>
      <c r="J360" s="7" t="n"/>
      <c r="K360" s="7" t="n"/>
      <c r="M360" s="8" t="n"/>
      <c r="P360" s="9" t="n"/>
      <c r="Q360" s="10" t="n"/>
      <c r="R360" s="10" t="n"/>
      <c r="S360" s="11" t="n"/>
      <c r="U360" s="12">
        <f>IF(OR(H360="",I360=""),"",ROUND(Settings!$B$4/ABS(H360-I360),2))</f>
        <v/>
      </c>
      <c r="V360" s="13">
        <f>IF(M360="","",ROUND(M360*Settings!$B$4,2))</f>
        <v/>
      </c>
      <c r="W360" s="12">
        <f>IF(M360="","",SUM($M$2:M360))</f>
        <v/>
      </c>
      <c r="X360" s="12">
        <f>IF(M360="","",MAX(0,N(X359),W360))</f>
        <v/>
      </c>
      <c r="Y360" s="12">
        <f>IF(M360="","",X360-W360)</f>
        <v/>
      </c>
      <c r="Z360" s="12">
        <f>IF(M360="","",IF(M360&lt;0,N(Z359)+1,0))</f>
        <v/>
      </c>
    </row>
    <row r="361">
      <c r="H361" s="7" t="n"/>
      <c r="I361" s="7" t="n"/>
      <c r="J361" s="7" t="n"/>
      <c r="K361" s="7" t="n"/>
      <c r="M361" s="8" t="n"/>
      <c r="P361" s="9" t="n"/>
      <c r="Q361" s="10" t="n"/>
      <c r="R361" s="10" t="n"/>
      <c r="S361" s="11" t="n"/>
      <c r="U361" s="12">
        <f>IF(OR(H361="",I361=""),"",ROUND(Settings!$B$4/ABS(H361-I361),2))</f>
        <v/>
      </c>
      <c r="V361" s="13">
        <f>IF(M361="","",ROUND(M361*Settings!$B$4,2))</f>
        <v/>
      </c>
      <c r="W361" s="12">
        <f>IF(M361="","",SUM($M$2:M361))</f>
        <v/>
      </c>
      <c r="X361" s="12">
        <f>IF(M361="","",MAX(0,N(X360),W361))</f>
        <v/>
      </c>
      <c r="Y361" s="12">
        <f>IF(M361="","",X361-W361)</f>
        <v/>
      </c>
      <c r="Z361" s="12">
        <f>IF(M361="","",IF(M361&lt;0,N(Z360)+1,0))</f>
        <v/>
      </c>
    </row>
    <row r="362">
      <c r="H362" s="7" t="n"/>
      <c r="I362" s="7" t="n"/>
      <c r="J362" s="7" t="n"/>
      <c r="K362" s="7" t="n"/>
      <c r="M362" s="8" t="n"/>
      <c r="P362" s="9" t="n"/>
      <c r="Q362" s="10" t="n"/>
      <c r="R362" s="10" t="n"/>
      <c r="S362" s="11" t="n"/>
      <c r="U362" s="12">
        <f>IF(OR(H362="",I362=""),"",ROUND(Settings!$B$4/ABS(H362-I362),2))</f>
        <v/>
      </c>
      <c r="V362" s="13">
        <f>IF(M362="","",ROUND(M362*Settings!$B$4,2))</f>
        <v/>
      </c>
      <c r="W362" s="12">
        <f>IF(M362="","",SUM($M$2:M362))</f>
        <v/>
      </c>
      <c r="X362" s="12">
        <f>IF(M362="","",MAX(0,N(X361),W362))</f>
        <v/>
      </c>
      <c r="Y362" s="12">
        <f>IF(M362="","",X362-W362)</f>
        <v/>
      </c>
      <c r="Z362" s="12">
        <f>IF(M362="","",IF(M362&lt;0,N(Z361)+1,0))</f>
        <v/>
      </c>
    </row>
    <row r="363">
      <c r="H363" s="7" t="n"/>
      <c r="I363" s="7" t="n"/>
      <c r="J363" s="7" t="n"/>
      <c r="K363" s="7" t="n"/>
      <c r="M363" s="8" t="n"/>
      <c r="P363" s="9" t="n"/>
      <c r="Q363" s="10" t="n"/>
      <c r="R363" s="10" t="n"/>
      <c r="S363" s="11" t="n"/>
      <c r="U363" s="12">
        <f>IF(OR(H363="",I363=""),"",ROUND(Settings!$B$4/ABS(H363-I363),2))</f>
        <v/>
      </c>
      <c r="V363" s="13">
        <f>IF(M363="","",ROUND(M363*Settings!$B$4,2))</f>
        <v/>
      </c>
      <c r="W363" s="12">
        <f>IF(M363="","",SUM($M$2:M363))</f>
        <v/>
      </c>
      <c r="X363" s="12">
        <f>IF(M363="","",MAX(0,N(X362),W363))</f>
        <v/>
      </c>
      <c r="Y363" s="12">
        <f>IF(M363="","",X363-W363)</f>
        <v/>
      </c>
      <c r="Z363" s="12">
        <f>IF(M363="","",IF(M363&lt;0,N(Z362)+1,0))</f>
        <v/>
      </c>
    </row>
    <row r="364">
      <c r="H364" s="7" t="n"/>
      <c r="I364" s="7" t="n"/>
      <c r="J364" s="7" t="n"/>
      <c r="K364" s="7" t="n"/>
      <c r="M364" s="8" t="n"/>
      <c r="P364" s="9" t="n"/>
      <c r="Q364" s="10" t="n"/>
      <c r="R364" s="10" t="n"/>
      <c r="S364" s="11" t="n"/>
      <c r="U364" s="12">
        <f>IF(OR(H364="",I364=""),"",ROUND(Settings!$B$4/ABS(H364-I364),2))</f>
        <v/>
      </c>
      <c r="V364" s="13">
        <f>IF(M364="","",ROUND(M364*Settings!$B$4,2))</f>
        <v/>
      </c>
      <c r="W364" s="12">
        <f>IF(M364="","",SUM($M$2:M364))</f>
        <v/>
      </c>
      <c r="X364" s="12">
        <f>IF(M364="","",MAX(0,N(X363),W364))</f>
        <v/>
      </c>
      <c r="Y364" s="12">
        <f>IF(M364="","",X364-W364)</f>
        <v/>
      </c>
      <c r="Z364" s="12">
        <f>IF(M364="","",IF(M364&lt;0,N(Z363)+1,0))</f>
        <v/>
      </c>
    </row>
    <row r="365">
      <c r="H365" s="7" t="n"/>
      <c r="I365" s="7" t="n"/>
      <c r="J365" s="7" t="n"/>
      <c r="K365" s="7" t="n"/>
      <c r="M365" s="8" t="n"/>
      <c r="P365" s="9" t="n"/>
      <c r="Q365" s="10" t="n"/>
      <c r="R365" s="10" t="n"/>
      <c r="S365" s="11" t="n"/>
      <c r="U365" s="12">
        <f>IF(OR(H365="",I365=""),"",ROUND(Settings!$B$4/ABS(H365-I365),2))</f>
        <v/>
      </c>
      <c r="V365" s="13">
        <f>IF(M365="","",ROUND(M365*Settings!$B$4,2))</f>
        <v/>
      </c>
      <c r="W365" s="12">
        <f>IF(M365="","",SUM($M$2:M365))</f>
        <v/>
      </c>
      <c r="X365" s="12">
        <f>IF(M365="","",MAX(0,N(X364),W365))</f>
        <v/>
      </c>
      <c r="Y365" s="12">
        <f>IF(M365="","",X365-W365)</f>
        <v/>
      </c>
      <c r="Z365" s="12">
        <f>IF(M365="","",IF(M365&lt;0,N(Z364)+1,0))</f>
        <v/>
      </c>
    </row>
    <row r="366">
      <c r="H366" s="7" t="n"/>
      <c r="I366" s="7" t="n"/>
      <c r="J366" s="7" t="n"/>
      <c r="K366" s="7" t="n"/>
      <c r="M366" s="8" t="n"/>
      <c r="P366" s="9" t="n"/>
      <c r="Q366" s="10" t="n"/>
      <c r="R366" s="10" t="n"/>
      <c r="S366" s="11" t="n"/>
      <c r="U366" s="12">
        <f>IF(OR(H366="",I366=""),"",ROUND(Settings!$B$4/ABS(H366-I366),2))</f>
        <v/>
      </c>
      <c r="V366" s="13">
        <f>IF(M366="","",ROUND(M366*Settings!$B$4,2))</f>
        <v/>
      </c>
      <c r="W366" s="12">
        <f>IF(M366="","",SUM($M$2:M366))</f>
        <v/>
      </c>
      <c r="X366" s="12">
        <f>IF(M366="","",MAX(0,N(X365),W366))</f>
        <v/>
      </c>
      <c r="Y366" s="12">
        <f>IF(M366="","",X366-W366)</f>
        <v/>
      </c>
      <c r="Z366" s="12">
        <f>IF(M366="","",IF(M366&lt;0,N(Z365)+1,0))</f>
        <v/>
      </c>
    </row>
    <row r="367">
      <c r="H367" s="7" t="n"/>
      <c r="I367" s="7" t="n"/>
      <c r="J367" s="7" t="n"/>
      <c r="K367" s="7" t="n"/>
      <c r="M367" s="8" t="n"/>
      <c r="P367" s="9" t="n"/>
      <c r="Q367" s="10" t="n"/>
      <c r="R367" s="10" t="n"/>
      <c r="S367" s="11" t="n"/>
      <c r="U367" s="12">
        <f>IF(OR(H367="",I367=""),"",ROUND(Settings!$B$4/ABS(H367-I367),2))</f>
        <v/>
      </c>
      <c r="V367" s="13">
        <f>IF(M367="","",ROUND(M367*Settings!$B$4,2))</f>
        <v/>
      </c>
      <c r="W367" s="12">
        <f>IF(M367="","",SUM($M$2:M367))</f>
        <v/>
      </c>
      <c r="X367" s="12">
        <f>IF(M367="","",MAX(0,N(X366),W367))</f>
        <v/>
      </c>
      <c r="Y367" s="12">
        <f>IF(M367="","",X367-W367)</f>
        <v/>
      </c>
      <c r="Z367" s="12">
        <f>IF(M367="","",IF(M367&lt;0,N(Z366)+1,0))</f>
        <v/>
      </c>
    </row>
    <row r="368">
      <c r="H368" s="7" t="n"/>
      <c r="I368" s="7" t="n"/>
      <c r="J368" s="7" t="n"/>
      <c r="K368" s="7" t="n"/>
      <c r="M368" s="8" t="n"/>
      <c r="P368" s="9" t="n"/>
      <c r="Q368" s="10" t="n"/>
      <c r="R368" s="10" t="n"/>
      <c r="S368" s="11" t="n"/>
      <c r="U368" s="12">
        <f>IF(OR(H368="",I368=""),"",ROUND(Settings!$B$4/ABS(H368-I368),2))</f>
        <v/>
      </c>
      <c r="V368" s="13">
        <f>IF(M368="","",ROUND(M368*Settings!$B$4,2))</f>
        <v/>
      </c>
      <c r="W368" s="12">
        <f>IF(M368="","",SUM($M$2:M368))</f>
        <v/>
      </c>
      <c r="X368" s="12">
        <f>IF(M368="","",MAX(0,N(X367),W368))</f>
        <v/>
      </c>
      <c r="Y368" s="12">
        <f>IF(M368="","",X368-W368)</f>
        <v/>
      </c>
      <c r="Z368" s="12">
        <f>IF(M368="","",IF(M368&lt;0,N(Z367)+1,0))</f>
        <v/>
      </c>
    </row>
    <row r="369">
      <c r="H369" s="7" t="n"/>
      <c r="I369" s="7" t="n"/>
      <c r="J369" s="7" t="n"/>
      <c r="K369" s="7" t="n"/>
      <c r="M369" s="8" t="n"/>
      <c r="P369" s="9" t="n"/>
      <c r="Q369" s="10" t="n"/>
      <c r="R369" s="10" t="n"/>
      <c r="S369" s="11" t="n"/>
      <c r="U369" s="12">
        <f>IF(OR(H369="",I369=""),"",ROUND(Settings!$B$4/ABS(H369-I369),2))</f>
        <v/>
      </c>
      <c r="V369" s="13">
        <f>IF(M369="","",ROUND(M369*Settings!$B$4,2))</f>
        <v/>
      </c>
      <c r="W369" s="12">
        <f>IF(M369="","",SUM($M$2:M369))</f>
        <v/>
      </c>
      <c r="X369" s="12">
        <f>IF(M369="","",MAX(0,N(X368),W369))</f>
        <v/>
      </c>
      <c r="Y369" s="12">
        <f>IF(M369="","",X369-W369)</f>
        <v/>
      </c>
      <c r="Z369" s="12">
        <f>IF(M369="","",IF(M369&lt;0,N(Z368)+1,0))</f>
        <v/>
      </c>
    </row>
    <row r="370">
      <c r="H370" s="7" t="n"/>
      <c r="I370" s="7" t="n"/>
      <c r="J370" s="7" t="n"/>
      <c r="K370" s="7" t="n"/>
      <c r="M370" s="8" t="n"/>
      <c r="P370" s="9" t="n"/>
      <c r="Q370" s="10" t="n"/>
      <c r="R370" s="10" t="n"/>
      <c r="S370" s="11" t="n"/>
      <c r="U370" s="12">
        <f>IF(OR(H370="",I370=""),"",ROUND(Settings!$B$4/ABS(H370-I370),2))</f>
        <v/>
      </c>
      <c r="V370" s="13">
        <f>IF(M370="","",ROUND(M370*Settings!$B$4,2))</f>
        <v/>
      </c>
      <c r="W370" s="12">
        <f>IF(M370="","",SUM($M$2:M370))</f>
        <v/>
      </c>
      <c r="X370" s="12">
        <f>IF(M370="","",MAX(0,N(X369),W370))</f>
        <v/>
      </c>
      <c r="Y370" s="12">
        <f>IF(M370="","",X370-W370)</f>
        <v/>
      </c>
      <c r="Z370" s="12">
        <f>IF(M370="","",IF(M370&lt;0,N(Z369)+1,0))</f>
        <v/>
      </c>
    </row>
    <row r="371">
      <c r="H371" s="7" t="n"/>
      <c r="I371" s="7" t="n"/>
      <c r="J371" s="7" t="n"/>
      <c r="K371" s="7" t="n"/>
      <c r="M371" s="8" t="n"/>
      <c r="P371" s="9" t="n"/>
      <c r="Q371" s="10" t="n"/>
      <c r="R371" s="10" t="n"/>
      <c r="S371" s="11" t="n"/>
      <c r="U371" s="12">
        <f>IF(OR(H371="",I371=""),"",ROUND(Settings!$B$4/ABS(H371-I371),2))</f>
        <v/>
      </c>
      <c r="V371" s="13">
        <f>IF(M371="","",ROUND(M371*Settings!$B$4,2))</f>
        <v/>
      </c>
      <c r="W371" s="12">
        <f>IF(M371="","",SUM($M$2:M371))</f>
        <v/>
      </c>
      <c r="X371" s="12">
        <f>IF(M371="","",MAX(0,N(X370),W371))</f>
        <v/>
      </c>
      <c r="Y371" s="12">
        <f>IF(M371="","",X371-W371)</f>
        <v/>
      </c>
      <c r="Z371" s="12">
        <f>IF(M371="","",IF(M371&lt;0,N(Z370)+1,0))</f>
        <v/>
      </c>
    </row>
    <row r="372">
      <c r="H372" s="7" t="n"/>
      <c r="I372" s="7" t="n"/>
      <c r="J372" s="7" t="n"/>
      <c r="K372" s="7" t="n"/>
      <c r="M372" s="8" t="n"/>
      <c r="P372" s="9" t="n"/>
      <c r="Q372" s="10" t="n"/>
      <c r="R372" s="10" t="n"/>
      <c r="S372" s="11" t="n"/>
      <c r="U372" s="12">
        <f>IF(OR(H372="",I372=""),"",ROUND(Settings!$B$4/ABS(H372-I372),2))</f>
        <v/>
      </c>
      <c r="V372" s="13">
        <f>IF(M372="","",ROUND(M372*Settings!$B$4,2))</f>
        <v/>
      </c>
      <c r="W372" s="12">
        <f>IF(M372="","",SUM($M$2:M372))</f>
        <v/>
      </c>
      <c r="X372" s="12">
        <f>IF(M372="","",MAX(0,N(X371),W372))</f>
        <v/>
      </c>
      <c r="Y372" s="12">
        <f>IF(M372="","",X372-W372)</f>
        <v/>
      </c>
      <c r="Z372" s="12">
        <f>IF(M372="","",IF(M372&lt;0,N(Z371)+1,0))</f>
        <v/>
      </c>
    </row>
    <row r="373">
      <c r="H373" s="7" t="n"/>
      <c r="I373" s="7" t="n"/>
      <c r="J373" s="7" t="n"/>
      <c r="K373" s="7" t="n"/>
      <c r="M373" s="8" t="n"/>
      <c r="P373" s="9" t="n"/>
      <c r="Q373" s="10" t="n"/>
      <c r="R373" s="10" t="n"/>
      <c r="S373" s="11" t="n"/>
      <c r="U373" s="12">
        <f>IF(OR(H373="",I373=""),"",ROUND(Settings!$B$4/ABS(H373-I373),2))</f>
        <v/>
      </c>
      <c r="V373" s="13">
        <f>IF(M373="","",ROUND(M373*Settings!$B$4,2))</f>
        <v/>
      </c>
      <c r="W373" s="12">
        <f>IF(M373="","",SUM($M$2:M373))</f>
        <v/>
      </c>
      <c r="X373" s="12">
        <f>IF(M373="","",MAX(0,N(X372),W373))</f>
        <v/>
      </c>
      <c r="Y373" s="12">
        <f>IF(M373="","",X373-W373)</f>
        <v/>
      </c>
      <c r="Z373" s="12">
        <f>IF(M373="","",IF(M373&lt;0,N(Z372)+1,0))</f>
        <v/>
      </c>
    </row>
    <row r="374">
      <c r="H374" s="7" t="n"/>
      <c r="I374" s="7" t="n"/>
      <c r="J374" s="7" t="n"/>
      <c r="K374" s="7" t="n"/>
      <c r="M374" s="8" t="n"/>
      <c r="P374" s="9" t="n"/>
      <c r="Q374" s="10" t="n"/>
      <c r="R374" s="10" t="n"/>
      <c r="S374" s="11" t="n"/>
      <c r="U374" s="12">
        <f>IF(OR(H374="",I374=""),"",ROUND(Settings!$B$4/ABS(H374-I374),2))</f>
        <v/>
      </c>
      <c r="V374" s="13">
        <f>IF(M374="","",ROUND(M374*Settings!$B$4,2))</f>
        <v/>
      </c>
      <c r="W374" s="12">
        <f>IF(M374="","",SUM($M$2:M374))</f>
        <v/>
      </c>
      <c r="X374" s="12">
        <f>IF(M374="","",MAX(0,N(X373),W374))</f>
        <v/>
      </c>
      <c r="Y374" s="12">
        <f>IF(M374="","",X374-W374)</f>
        <v/>
      </c>
      <c r="Z374" s="12">
        <f>IF(M374="","",IF(M374&lt;0,N(Z373)+1,0))</f>
        <v/>
      </c>
    </row>
    <row r="375">
      <c r="H375" s="7" t="n"/>
      <c r="I375" s="7" t="n"/>
      <c r="J375" s="7" t="n"/>
      <c r="K375" s="7" t="n"/>
      <c r="M375" s="8" t="n"/>
      <c r="P375" s="9" t="n"/>
      <c r="Q375" s="10" t="n"/>
      <c r="R375" s="10" t="n"/>
      <c r="S375" s="11" t="n"/>
      <c r="U375" s="12">
        <f>IF(OR(H375="",I375=""),"",ROUND(Settings!$B$4/ABS(H375-I375),2))</f>
        <v/>
      </c>
      <c r="V375" s="13">
        <f>IF(M375="","",ROUND(M375*Settings!$B$4,2))</f>
        <v/>
      </c>
      <c r="W375" s="12">
        <f>IF(M375="","",SUM($M$2:M375))</f>
        <v/>
      </c>
      <c r="X375" s="12">
        <f>IF(M375="","",MAX(0,N(X374),W375))</f>
        <v/>
      </c>
      <c r="Y375" s="12">
        <f>IF(M375="","",X375-W375)</f>
        <v/>
      </c>
      <c r="Z375" s="12">
        <f>IF(M375="","",IF(M375&lt;0,N(Z374)+1,0))</f>
        <v/>
      </c>
    </row>
    <row r="376">
      <c r="H376" s="7" t="n"/>
      <c r="I376" s="7" t="n"/>
      <c r="J376" s="7" t="n"/>
      <c r="K376" s="7" t="n"/>
      <c r="M376" s="8" t="n"/>
      <c r="P376" s="9" t="n"/>
      <c r="Q376" s="10" t="n"/>
      <c r="R376" s="10" t="n"/>
      <c r="S376" s="11" t="n"/>
      <c r="U376" s="12">
        <f>IF(OR(H376="",I376=""),"",ROUND(Settings!$B$4/ABS(H376-I376),2))</f>
        <v/>
      </c>
      <c r="V376" s="13">
        <f>IF(M376="","",ROUND(M376*Settings!$B$4,2))</f>
        <v/>
      </c>
      <c r="W376" s="12">
        <f>IF(M376="","",SUM($M$2:M376))</f>
        <v/>
      </c>
      <c r="X376" s="12">
        <f>IF(M376="","",MAX(0,N(X375),W376))</f>
        <v/>
      </c>
      <c r="Y376" s="12">
        <f>IF(M376="","",X376-W376)</f>
        <v/>
      </c>
      <c r="Z376" s="12">
        <f>IF(M376="","",IF(M376&lt;0,N(Z375)+1,0))</f>
        <v/>
      </c>
    </row>
    <row r="377">
      <c r="H377" s="7" t="n"/>
      <c r="I377" s="7" t="n"/>
      <c r="J377" s="7" t="n"/>
      <c r="K377" s="7" t="n"/>
      <c r="M377" s="8" t="n"/>
      <c r="P377" s="9" t="n"/>
      <c r="Q377" s="10" t="n"/>
      <c r="R377" s="10" t="n"/>
      <c r="S377" s="11" t="n"/>
      <c r="U377" s="12">
        <f>IF(OR(H377="",I377=""),"",ROUND(Settings!$B$4/ABS(H377-I377),2))</f>
        <v/>
      </c>
      <c r="V377" s="13">
        <f>IF(M377="","",ROUND(M377*Settings!$B$4,2))</f>
        <v/>
      </c>
      <c r="W377" s="12">
        <f>IF(M377="","",SUM($M$2:M377))</f>
        <v/>
      </c>
      <c r="X377" s="12">
        <f>IF(M377="","",MAX(0,N(X376),W377))</f>
        <v/>
      </c>
      <c r="Y377" s="12">
        <f>IF(M377="","",X377-W377)</f>
        <v/>
      </c>
      <c r="Z377" s="12">
        <f>IF(M377="","",IF(M377&lt;0,N(Z376)+1,0))</f>
        <v/>
      </c>
    </row>
    <row r="378">
      <c r="H378" s="7" t="n"/>
      <c r="I378" s="7" t="n"/>
      <c r="J378" s="7" t="n"/>
      <c r="K378" s="7" t="n"/>
      <c r="M378" s="8" t="n"/>
      <c r="P378" s="9" t="n"/>
      <c r="Q378" s="10" t="n"/>
      <c r="R378" s="10" t="n"/>
      <c r="S378" s="11" t="n"/>
      <c r="U378" s="12">
        <f>IF(OR(H378="",I378=""),"",ROUND(Settings!$B$4/ABS(H378-I378),2))</f>
        <v/>
      </c>
      <c r="V378" s="13">
        <f>IF(M378="","",ROUND(M378*Settings!$B$4,2))</f>
        <v/>
      </c>
      <c r="W378" s="12">
        <f>IF(M378="","",SUM($M$2:M378))</f>
        <v/>
      </c>
      <c r="X378" s="12">
        <f>IF(M378="","",MAX(0,N(X377),W378))</f>
        <v/>
      </c>
      <c r="Y378" s="12">
        <f>IF(M378="","",X378-W378)</f>
        <v/>
      </c>
      <c r="Z378" s="12">
        <f>IF(M378="","",IF(M378&lt;0,N(Z377)+1,0))</f>
        <v/>
      </c>
    </row>
    <row r="379">
      <c r="H379" s="7" t="n"/>
      <c r="I379" s="7" t="n"/>
      <c r="J379" s="7" t="n"/>
      <c r="K379" s="7" t="n"/>
      <c r="M379" s="8" t="n"/>
      <c r="P379" s="9" t="n"/>
      <c r="Q379" s="10" t="n"/>
      <c r="R379" s="10" t="n"/>
      <c r="S379" s="11" t="n"/>
      <c r="U379" s="12">
        <f>IF(OR(H379="",I379=""),"",ROUND(Settings!$B$4/ABS(H379-I379),2))</f>
        <v/>
      </c>
      <c r="V379" s="13">
        <f>IF(M379="","",ROUND(M379*Settings!$B$4,2))</f>
        <v/>
      </c>
      <c r="W379" s="12">
        <f>IF(M379="","",SUM($M$2:M379))</f>
        <v/>
      </c>
      <c r="X379" s="12">
        <f>IF(M379="","",MAX(0,N(X378),W379))</f>
        <v/>
      </c>
      <c r="Y379" s="12">
        <f>IF(M379="","",X379-W379)</f>
        <v/>
      </c>
      <c r="Z379" s="12">
        <f>IF(M379="","",IF(M379&lt;0,N(Z378)+1,0))</f>
        <v/>
      </c>
    </row>
    <row r="380">
      <c r="H380" s="7" t="n"/>
      <c r="I380" s="7" t="n"/>
      <c r="J380" s="7" t="n"/>
      <c r="K380" s="7" t="n"/>
      <c r="M380" s="8" t="n"/>
      <c r="P380" s="9" t="n"/>
      <c r="Q380" s="10" t="n"/>
      <c r="R380" s="10" t="n"/>
      <c r="S380" s="11" t="n"/>
      <c r="U380" s="12">
        <f>IF(OR(H380="",I380=""),"",ROUND(Settings!$B$4/ABS(H380-I380),2))</f>
        <v/>
      </c>
      <c r="V380" s="13">
        <f>IF(M380="","",ROUND(M380*Settings!$B$4,2))</f>
        <v/>
      </c>
      <c r="W380" s="12">
        <f>IF(M380="","",SUM($M$2:M380))</f>
        <v/>
      </c>
      <c r="X380" s="12">
        <f>IF(M380="","",MAX(0,N(X379),W380))</f>
        <v/>
      </c>
      <c r="Y380" s="12">
        <f>IF(M380="","",X380-W380)</f>
        <v/>
      </c>
      <c r="Z380" s="12">
        <f>IF(M380="","",IF(M380&lt;0,N(Z379)+1,0))</f>
        <v/>
      </c>
    </row>
    <row r="381">
      <c r="H381" s="7" t="n"/>
      <c r="I381" s="7" t="n"/>
      <c r="J381" s="7" t="n"/>
      <c r="K381" s="7" t="n"/>
      <c r="M381" s="8" t="n"/>
      <c r="P381" s="9" t="n"/>
      <c r="Q381" s="10" t="n"/>
      <c r="R381" s="10" t="n"/>
      <c r="S381" s="11" t="n"/>
      <c r="U381" s="12">
        <f>IF(OR(H381="",I381=""),"",ROUND(Settings!$B$4/ABS(H381-I381),2))</f>
        <v/>
      </c>
      <c r="V381" s="13">
        <f>IF(M381="","",ROUND(M381*Settings!$B$4,2))</f>
        <v/>
      </c>
      <c r="W381" s="12">
        <f>IF(M381="","",SUM($M$2:M381))</f>
        <v/>
      </c>
      <c r="X381" s="12">
        <f>IF(M381="","",MAX(0,N(X380),W381))</f>
        <v/>
      </c>
      <c r="Y381" s="12">
        <f>IF(M381="","",X381-W381)</f>
        <v/>
      </c>
      <c r="Z381" s="12">
        <f>IF(M381="","",IF(M381&lt;0,N(Z380)+1,0))</f>
        <v/>
      </c>
    </row>
    <row r="382">
      <c r="H382" s="7" t="n"/>
      <c r="I382" s="7" t="n"/>
      <c r="J382" s="7" t="n"/>
      <c r="K382" s="7" t="n"/>
      <c r="M382" s="8" t="n"/>
      <c r="P382" s="9" t="n"/>
      <c r="Q382" s="10" t="n"/>
      <c r="R382" s="10" t="n"/>
      <c r="S382" s="11" t="n"/>
      <c r="U382" s="12">
        <f>IF(OR(H382="",I382=""),"",ROUND(Settings!$B$4/ABS(H382-I382),2))</f>
        <v/>
      </c>
      <c r="V382" s="13">
        <f>IF(M382="","",ROUND(M382*Settings!$B$4,2))</f>
        <v/>
      </c>
      <c r="W382" s="12">
        <f>IF(M382="","",SUM($M$2:M382))</f>
        <v/>
      </c>
      <c r="X382" s="12">
        <f>IF(M382="","",MAX(0,N(X381),W382))</f>
        <v/>
      </c>
      <c r="Y382" s="12">
        <f>IF(M382="","",X382-W382)</f>
        <v/>
      </c>
      <c r="Z382" s="12">
        <f>IF(M382="","",IF(M382&lt;0,N(Z381)+1,0))</f>
        <v/>
      </c>
    </row>
    <row r="383">
      <c r="H383" s="7" t="n"/>
      <c r="I383" s="7" t="n"/>
      <c r="J383" s="7" t="n"/>
      <c r="K383" s="7" t="n"/>
      <c r="M383" s="8" t="n"/>
      <c r="P383" s="9" t="n"/>
      <c r="Q383" s="10" t="n"/>
      <c r="R383" s="10" t="n"/>
      <c r="S383" s="11" t="n"/>
      <c r="U383" s="12">
        <f>IF(OR(H383="",I383=""),"",ROUND(Settings!$B$4/ABS(H383-I383),2))</f>
        <v/>
      </c>
      <c r="V383" s="13">
        <f>IF(M383="","",ROUND(M383*Settings!$B$4,2))</f>
        <v/>
      </c>
      <c r="W383" s="12">
        <f>IF(M383="","",SUM($M$2:M383))</f>
        <v/>
      </c>
      <c r="X383" s="12">
        <f>IF(M383="","",MAX(0,N(X382),W383))</f>
        <v/>
      </c>
      <c r="Y383" s="12">
        <f>IF(M383="","",X383-W383)</f>
        <v/>
      </c>
      <c r="Z383" s="12">
        <f>IF(M383="","",IF(M383&lt;0,N(Z382)+1,0))</f>
        <v/>
      </c>
    </row>
    <row r="384">
      <c r="H384" s="7" t="n"/>
      <c r="I384" s="7" t="n"/>
      <c r="J384" s="7" t="n"/>
      <c r="K384" s="7" t="n"/>
      <c r="M384" s="8" t="n"/>
      <c r="P384" s="9" t="n"/>
      <c r="Q384" s="10" t="n"/>
      <c r="R384" s="10" t="n"/>
      <c r="S384" s="11" t="n"/>
      <c r="U384" s="12">
        <f>IF(OR(H384="",I384=""),"",ROUND(Settings!$B$4/ABS(H384-I384),2))</f>
        <v/>
      </c>
      <c r="V384" s="13">
        <f>IF(M384="","",ROUND(M384*Settings!$B$4,2))</f>
        <v/>
      </c>
      <c r="W384" s="12">
        <f>IF(M384="","",SUM($M$2:M384))</f>
        <v/>
      </c>
      <c r="X384" s="12">
        <f>IF(M384="","",MAX(0,N(X383),W384))</f>
        <v/>
      </c>
      <c r="Y384" s="12">
        <f>IF(M384="","",X384-W384)</f>
        <v/>
      </c>
      <c r="Z384" s="12">
        <f>IF(M384="","",IF(M384&lt;0,N(Z383)+1,0))</f>
        <v/>
      </c>
    </row>
    <row r="385">
      <c r="H385" s="7" t="n"/>
      <c r="I385" s="7" t="n"/>
      <c r="J385" s="7" t="n"/>
      <c r="K385" s="7" t="n"/>
      <c r="M385" s="8" t="n"/>
      <c r="P385" s="9" t="n"/>
      <c r="Q385" s="10" t="n"/>
      <c r="R385" s="10" t="n"/>
      <c r="S385" s="11" t="n"/>
      <c r="U385" s="12">
        <f>IF(OR(H385="",I385=""),"",ROUND(Settings!$B$4/ABS(H385-I385),2))</f>
        <v/>
      </c>
      <c r="V385" s="13">
        <f>IF(M385="","",ROUND(M385*Settings!$B$4,2))</f>
        <v/>
      </c>
      <c r="W385" s="12">
        <f>IF(M385="","",SUM($M$2:M385))</f>
        <v/>
      </c>
      <c r="X385" s="12">
        <f>IF(M385="","",MAX(0,N(X384),W385))</f>
        <v/>
      </c>
      <c r="Y385" s="12">
        <f>IF(M385="","",X385-W385)</f>
        <v/>
      </c>
      <c r="Z385" s="12">
        <f>IF(M385="","",IF(M385&lt;0,N(Z384)+1,0))</f>
        <v/>
      </c>
    </row>
    <row r="386">
      <c r="H386" s="7" t="n"/>
      <c r="I386" s="7" t="n"/>
      <c r="J386" s="7" t="n"/>
      <c r="K386" s="7" t="n"/>
      <c r="M386" s="8" t="n"/>
      <c r="P386" s="9" t="n"/>
      <c r="Q386" s="10" t="n"/>
      <c r="R386" s="10" t="n"/>
      <c r="S386" s="11" t="n"/>
      <c r="U386" s="12">
        <f>IF(OR(H386="",I386=""),"",ROUND(Settings!$B$4/ABS(H386-I386),2))</f>
        <v/>
      </c>
      <c r="V386" s="13">
        <f>IF(M386="","",ROUND(M386*Settings!$B$4,2))</f>
        <v/>
      </c>
      <c r="W386" s="12">
        <f>IF(M386="","",SUM($M$2:M386))</f>
        <v/>
      </c>
      <c r="X386" s="12">
        <f>IF(M386="","",MAX(0,N(X385),W386))</f>
        <v/>
      </c>
      <c r="Y386" s="12">
        <f>IF(M386="","",X386-W386)</f>
        <v/>
      </c>
      <c r="Z386" s="12">
        <f>IF(M386="","",IF(M386&lt;0,N(Z385)+1,0))</f>
        <v/>
      </c>
    </row>
    <row r="387">
      <c r="H387" s="7" t="n"/>
      <c r="I387" s="7" t="n"/>
      <c r="J387" s="7" t="n"/>
      <c r="K387" s="7" t="n"/>
      <c r="M387" s="8" t="n"/>
      <c r="P387" s="9" t="n"/>
      <c r="Q387" s="10" t="n"/>
      <c r="R387" s="10" t="n"/>
      <c r="S387" s="11" t="n"/>
      <c r="U387" s="12">
        <f>IF(OR(H387="",I387=""),"",ROUND(Settings!$B$4/ABS(H387-I387),2))</f>
        <v/>
      </c>
      <c r="V387" s="13">
        <f>IF(M387="","",ROUND(M387*Settings!$B$4,2))</f>
        <v/>
      </c>
      <c r="W387" s="12">
        <f>IF(M387="","",SUM($M$2:M387))</f>
        <v/>
      </c>
      <c r="X387" s="12">
        <f>IF(M387="","",MAX(0,N(X386),W387))</f>
        <v/>
      </c>
      <c r="Y387" s="12">
        <f>IF(M387="","",X387-W387)</f>
        <v/>
      </c>
      <c r="Z387" s="12">
        <f>IF(M387="","",IF(M387&lt;0,N(Z386)+1,0))</f>
        <v/>
      </c>
    </row>
    <row r="388">
      <c r="H388" s="7" t="n"/>
      <c r="I388" s="7" t="n"/>
      <c r="J388" s="7" t="n"/>
      <c r="K388" s="7" t="n"/>
      <c r="M388" s="8" t="n"/>
      <c r="P388" s="9" t="n"/>
      <c r="Q388" s="10" t="n"/>
      <c r="R388" s="10" t="n"/>
      <c r="S388" s="11" t="n"/>
      <c r="U388" s="12">
        <f>IF(OR(H388="",I388=""),"",ROUND(Settings!$B$4/ABS(H388-I388),2))</f>
        <v/>
      </c>
      <c r="V388" s="13">
        <f>IF(M388="","",ROUND(M388*Settings!$B$4,2))</f>
        <v/>
      </c>
      <c r="W388" s="12">
        <f>IF(M388="","",SUM($M$2:M388))</f>
        <v/>
      </c>
      <c r="X388" s="12">
        <f>IF(M388="","",MAX(0,N(X387),W388))</f>
        <v/>
      </c>
      <c r="Y388" s="12">
        <f>IF(M388="","",X388-W388)</f>
        <v/>
      </c>
      <c r="Z388" s="12">
        <f>IF(M388="","",IF(M388&lt;0,N(Z387)+1,0))</f>
        <v/>
      </c>
    </row>
    <row r="389">
      <c r="H389" s="7" t="n"/>
      <c r="I389" s="7" t="n"/>
      <c r="J389" s="7" t="n"/>
      <c r="K389" s="7" t="n"/>
      <c r="M389" s="8" t="n"/>
      <c r="P389" s="9" t="n"/>
      <c r="Q389" s="10" t="n"/>
      <c r="R389" s="10" t="n"/>
      <c r="S389" s="11" t="n"/>
      <c r="U389" s="12">
        <f>IF(OR(H389="",I389=""),"",ROUND(Settings!$B$4/ABS(H389-I389),2))</f>
        <v/>
      </c>
      <c r="V389" s="13">
        <f>IF(M389="","",ROUND(M389*Settings!$B$4,2))</f>
        <v/>
      </c>
      <c r="W389" s="12">
        <f>IF(M389="","",SUM($M$2:M389))</f>
        <v/>
      </c>
      <c r="X389" s="12">
        <f>IF(M389="","",MAX(0,N(X388),W389))</f>
        <v/>
      </c>
      <c r="Y389" s="12">
        <f>IF(M389="","",X389-W389)</f>
        <v/>
      </c>
      <c r="Z389" s="12">
        <f>IF(M389="","",IF(M389&lt;0,N(Z388)+1,0))</f>
        <v/>
      </c>
    </row>
    <row r="390">
      <c r="H390" s="7" t="n"/>
      <c r="I390" s="7" t="n"/>
      <c r="J390" s="7" t="n"/>
      <c r="K390" s="7" t="n"/>
      <c r="M390" s="8" t="n"/>
      <c r="P390" s="9" t="n"/>
      <c r="Q390" s="10" t="n"/>
      <c r="R390" s="10" t="n"/>
      <c r="S390" s="11" t="n"/>
      <c r="U390" s="12">
        <f>IF(OR(H390="",I390=""),"",ROUND(Settings!$B$4/ABS(H390-I390),2))</f>
        <v/>
      </c>
      <c r="V390" s="13">
        <f>IF(M390="","",ROUND(M390*Settings!$B$4,2))</f>
        <v/>
      </c>
      <c r="W390" s="12">
        <f>IF(M390="","",SUM($M$2:M390))</f>
        <v/>
      </c>
      <c r="X390" s="12">
        <f>IF(M390="","",MAX(0,N(X389),W390))</f>
        <v/>
      </c>
      <c r="Y390" s="12">
        <f>IF(M390="","",X390-W390)</f>
        <v/>
      </c>
      <c r="Z390" s="12">
        <f>IF(M390="","",IF(M390&lt;0,N(Z389)+1,0))</f>
        <v/>
      </c>
    </row>
    <row r="391">
      <c r="H391" s="7" t="n"/>
      <c r="I391" s="7" t="n"/>
      <c r="J391" s="7" t="n"/>
      <c r="K391" s="7" t="n"/>
      <c r="M391" s="8" t="n"/>
      <c r="P391" s="9" t="n"/>
      <c r="Q391" s="10" t="n"/>
      <c r="R391" s="10" t="n"/>
      <c r="S391" s="11" t="n"/>
      <c r="U391" s="12">
        <f>IF(OR(H391="",I391=""),"",ROUND(Settings!$B$4/ABS(H391-I391),2))</f>
        <v/>
      </c>
      <c r="V391" s="13">
        <f>IF(M391="","",ROUND(M391*Settings!$B$4,2))</f>
        <v/>
      </c>
      <c r="W391" s="12">
        <f>IF(M391="","",SUM($M$2:M391))</f>
        <v/>
      </c>
      <c r="X391" s="12">
        <f>IF(M391="","",MAX(0,N(X390),W391))</f>
        <v/>
      </c>
      <c r="Y391" s="12">
        <f>IF(M391="","",X391-W391)</f>
        <v/>
      </c>
      <c r="Z391" s="12">
        <f>IF(M391="","",IF(M391&lt;0,N(Z390)+1,0))</f>
        <v/>
      </c>
    </row>
    <row r="392">
      <c r="H392" s="7" t="n"/>
      <c r="I392" s="7" t="n"/>
      <c r="J392" s="7" t="n"/>
      <c r="K392" s="7" t="n"/>
      <c r="M392" s="8" t="n"/>
      <c r="P392" s="9" t="n"/>
      <c r="Q392" s="10" t="n"/>
      <c r="R392" s="10" t="n"/>
      <c r="S392" s="11" t="n"/>
      <c r="U392" s="12">
        <f>IF(OR(H392="",I392=""),"",ROUND(Settings!$B$4/ABS(H392-I392),2))</f>
        <v/>
      </c>
      <c r="V392" s="13">
        <f>IF(M392="","",ROUND(M392*Settings!$B$4,2))</f>
        <v/>
      </c>
      <c r="W392" s="12">
        <f>IF(M392="","",SUM($M$2:M392))</f>
        <v/>
      </c>
      <c r="X392" s="12">
        <f>IF(M392="","",MAX(0,N(X391),W392))</f>
        <v/>
      </c>
      <c r="Y392" s="12">
        <f>IF(M392="","",X392-W392)</f>
        <v/>
      </c>
      <c r="Z392" s="12">
        <f>IF(M392="","",IF(M392&lt;0,N(Z391)+1,0))</f>
        <v/>
      </c>
    </row>
    <row r="393">
      <c r="H393" s="7" t="n"/>
      <c r="I393" s="7" t="n"/>
      <c r="J393" s="7" t="n"/>
      <c r="K393" s="7" t="n"/>
      <c r="M393" s="8" t="n"/>
      <c r="P393" s="9" t="n"/>
      <c r="Q393" s="10" t="n"/>
      <c r="R393" s="10" t="n"/>
      <c r="S393" s="11" t="n"/>
      <c r="U393" s="12">
        <f>IF(OR(H393="",I393=""),"",ROUND(Settings!$B$4/ABS(H393-I393),2))</f>
        <v/>
      </c>
      <c r="V393" s="13">
        <f>IF(M393="","",ROUND(M393*Settings!$B$4,2))</f>
        <v/>
      </c>
      <c r="W393" s="12">
        <f>IF(M393="","",SUM($M$2:M393))</f>
        <v/>
      </c>
      <c r="X393" s="12">
        <f>IF(M393="","",MAX(0,N(X392),W393))</f>
        <v/>
      </c>
      <c r="Y393" s="12">
        <f>IF(M393="","",X393-W393)</f>
        <v/>
      </c>
      <c r="Z393" s="12">
        <f>IF(M393="","",IF(M393&lt;0,N(Z392)+1,0))</f>
        <v/>
      </c>
    </row>
    <row r="394">
      <c r="H394" s="7" t="n"/>
      <c r="I394" s="7" t="n"/>
      <c r="J394" s="7" t="n"/>
      <c r="K394" s="7" t="n"/>
      <c r="M394" s="8" t="n"/>
      <c r="P394" s="9" t="n"/>
      <c r="Q394" s="10" t="n"/>
      <c r="R394" s="10" t="n"/>
      <c r="S394" s="11" t="n"/>
      <c r="U394" s="12">
        <f>IF(OR(H394="",I394=""),"",ROUND(Settings!$B$4/ABS(H394-I394),2))</f>
        <v/>
      </c>
      <c r="V394" s="13">
        <f>IF(M394="","",ROUND(M394*Settings!$B$4,2))</f>
        <v/>
      </c>
      <c r="W394" s="12">
        <f>IF(M394="","",SUM($M$2:M394))</f>
        <v/>
      </c>
      <c r="X394" s="12">
        <f>IF(M394="","",MAX(0,N(X393),W394))</f>
        <v/>
      </c>
      <c r="Y394" s="12">
        <f>IF(M394="","",X394-W394)</f>
        <v/>
      </c>
      <c r="Z394" s="12">
        <f>IF(M394="","",IF(M394&lt;0,N(Z393)+1,0))</f>
        <v/>
      </c>
    </row>
    <row r="395">
      <c r="H395" s="7" t="n"/>
      <c r="I395" s="7" t="n"/>
      <c r="J395" s="7" t="n"/>
      <c r="K395" s="7" t="n"/>
      <c r="M395" s="8" t="n"/>
      <c r="P395" s="9" t="n"/>
      <c r="Q395" s="10" t="n"/>
      <c r="R395" s="10" t="n"/>
      <c r="S395" s="11" t="n"/>
      <c r="U395" s="12">
        <f>IF(OR(H395="",I395=""),"",ROUND(Settings!$B$4/ABS(H395-I395),2))</f>
        <v/>
      </c>
      <c r="V395" s="13">
        <f>IF(M395="","",ROUND(M395*Settings!$B$4,2))</f>
        <v/>
      </c>
      <c r="W395" s="12">
        <f>IF(M395="","",SUM($M$2:M395))</f>
        <v/>
      </c>
      <c r="X395" s="12">
        <f>IF(M395="","",MAX(0,N(X394),W395))</f>
        <v/>
      </c>
      <c r="Y395" s="12">
        <f>IF(M395="","",X395-W395)</f>
        <v/>
      </c>
      <c r="Z395" s="12">
        <f>IF(M395="","",IF(M395&lt;0,N(Z394)+1,0))</f>
        <v/>
      </c>
    </row>
    <row r="396">
      <c r="H396" s="7" t="n"/>
      <c r="I396" s="7" t="n"/>
      <c r="J396" s="7" t="n"/>
      <c r="K396" s="7" t="n"/>
      <c r="M396" s="8" t="n"/>
      <c r="P396" s="9" t="n"/>
      <c r="Q396" s="10" t="n"/>
      <c r="R396" s="10" t="n"/>
      <c r="S396" s="11" t="n"/>
      <c r="U396" s="12">
        <f>IF(OR(H396="",I396=""),"",ROUND(Settings!$B$4/ABS(H396-I396),2))</f>
        <v/>
      </c>
      <c r="V396" s="13">
        <f>IF(M396="","",ROUND(M396*Settings!$B$4,2))</f>
        <v/>
      </c>
      <c r="W396" s="12">
        <f>IF(M396="","",SUM($M$2:M396))</f>
        <v/>
      </c>
      <c r="X396" s="12">
        <f>IF(M396="","",MAX(0,N(X395),W396))</f>
        <v/>
      </c>
      <c r="Y396" s="12">
        <f>IF(M396="","",X396-W396)</f>
        <v/>
      </c>
      <c r="Z396" s="12">
        <f>IF(M396="","",IF(M396&lt;0,N(Z395)+1,0))</f>
        <v/>
      </c>
    </row>
    <row r="397">
      <c r="H397" s="7" t="n"/>
      <c r="I397" s="7" t="n"/>
      <c r="J397" s="7" t="n"/>
      <c r="K397" s="7" t="n"/>
      <c r="M397" s="8" t="n"/>
      <c r="P397" s="9" t="n"/>
      <c r="Q397" s="10" t="n"/>
      <c r="R397" s="10" t="n"/>
      <c r="S397" s="11" t="n"/>
      <c r="U397" s="12">
        <f>IF(OR(H397="",I397=""),"",ROUND(Settings!$B$4/ABS(H397-I397),2))</f>
        <v/>
      </c>
      <c r="V397" s="13">
        <f>IF(M397="","",ROUND(M397*Settings!$B$4,2))</f>
        <v/>
      </c>
      <c r="W397" s="12">
        <f>IF(M397="","",SUM($M$2:M397))</f>
        <v/>
      </c>
      <c r="X397" s="12">
        <f>IF(M397="","",MAX(0,N(X396),W397))</f>
        <v/>
      </c>
      <c r="Y397" s="12">
        <f>IF(M397="","",X397-W397)</f>
        <v/>
      </c>
      <c r="Z397" s="12">
        <f>IF(M397="","",IF(M397&lt;0,N(Z396)+1,0))</f>
        <v/>
      </c>
    </row>
    <row r="398">
      <c r="H398" s="7" t="n"/>
      <c r="I398" s="7" t="n"/>
      <c r="J398" s="7" t="n"/>
      <c r="K398" s="7" t="n"/>
      <c r="M398" s="8" t="n"/>
      <c r="P398" s="9" t="n"/>
      <c r="Q398" s="10" t="n"/>
      <c r="R398" s="10" t="n"/>
      <c r="S398" s="11" t="n"/>
      <c r="U398" s="12">
        <f>IF(OR(H398="",I398=""),"",ROUND(Settings!$B$4/ABS(H398-I398),2))</f>
        <v/>
      </c>
      <c r="V398" s="13">
        <f>IF(M398="","",ROUND(M398*Settings!$B$4,2))</f>
        <v/>
      </c>
      <c r="W398" s="12">
        <f>IF(M398="","",SUM($M$2:M398))</f>
        <v/>
      </c>
      <c r="X398" s="12">
        <f>IF(M398="","",MAX(0,N(X397),W398))</f>
        <v/>
      </c>
      <c r="Y398" s="12">
        <f>IF(M398="","",X398-W398)</f>
        <v/>
      </c>
      <c r="Z398" s="12">
        <f>IF(M398="","",IF(M398&lt;0,N(Z397)+1,0))</f>
        <v/>
      </c>
    </row>
    <row r="399">
      <c r="H399" s="7" t="n"/>
      <c r="I399" s="7" t="n"/>
      <c r="J399" s="7" t="n"/>
      <c r="K399" s="7" t="n"/>
      <c r="M399" s="8" t="n"/>
      <c r="P399" s="9" t="n"/>
      <c r="Q399" s="10" t="n"/>
      <c r="R399" s="10" t="n"/>
      <c r="S399" s="11" t="n"/>
      <c r="U399" s="12">
        <f>IF(OR(H399="",I399=""),"",ROUND(Settings!$B$4/ABS(H399-I399),2))</f>
        <v/>
      </c>
      <c r="V399" s="13">
        <f>IF(M399="","",ROUND(M399*Settings!$B$4,2))</f>
        <v/>
      </c>
      <c r="W399" s="12">
        <f>IF(M399="","",SUM($M$2:M399))</f>
        <v/>
      </c>
      <c r="X399" s="12">
        <f>IF(M399="","",MAX(0,N(X398),W399))</f>
        <v/>
      </c>
      <c r="Y399" s="12">
        <f>IF(M399="","",X399-W399)</f>
        <v/>
      </c>
      <c r="Z399" s="12">
        <f>IF(M399="","",IF(M399&lt;0,N(Z398)+1,0))</f>
        <v/>
      </c>
    </row>
    <row r="400">
      <c r="H400" s="7" t="n"/>
      <c r="I400" s="7" t="n"/>
      <c r="J400" s="7" t="n"/>
      <c r="K400" s="7" t="n"/>
      <c r="M400" s="8" t="n"/>
      <c r="P400" s="9" t="n"/>
      <c r="Q400" s="10" t="n"/>
      <c r="R400" s="10" t="n"/>
      <c r="S400" s="11" t="n"/>
      <c r="U400" s="12">
        <f>IF(OR(H400="",I400=""),"",ROUND(Settings!$B$4/ABS(H400-I400),2))</f>
        <v/>
      </c>
      <c r="V400" s="13">
        <f>IF(M400="","",ROUND(M400*Settings!$B$4,2))</f>
        <v/>
      </c>
      <c r="W400" s="12">
        <f>IF(M400="","",SUM($M$2:M400))</f>
        <v/>
      </c>
      <c r="X400" s="12">
        <f>IF(M400="","",MAX(0,N(X399),W400))</f>
        <v/>
      </c>
      <c r="Y400" s="12">
        <f>IF(M400="","",X400-W400)</f>
        <v/>
      </c>
      <c r="Z400" s="12">
        <f>IF(M400="","",IF(M400&lt;0,N(Z399)+1,0))</f>
        <v/>
      </c>
    </row>
    <row r="401">
      <c r="H401" s="7" t="n"/>
      <c r="I401" s="7" t="n"/>
      <c r="J401" s="7" t="n"/>
      <c r="K401" s="7" t="n"/>
      <c r="M401" s="8" t="n"/>
      <c r="P401" s="9" t="n"/>
      <c r="Q401" s="10" t="n"/>
      <c r="R401" s="10" t="n"/>
      <c r="S401" s="11" t="n"/>
      <c r="U401" s="12">
        <f>IF(OR(H401="",I401=""),"",ROUND(Settings!$B$4/ABS(H401-I401),2))</f>
        <v/>
      </c>
      <c r="V401" s="13">
        <f>IF(M401="","",ROUND(M401*Settings!$B$4,2))</f>
        <v/>
      </c>
      <c r="W401" s="12">
        <f>IF(M401="","",SUM($M$2:M401))</f>
        <v/>
      </c>
      <c r="X401" s="12">
        <f>IF(M401="","",MAX(0,N(X400),W401))</f>
        <v/>
      </c>
      <c r="Y401" s="12">
        <f>IF(M401="","",X401-W401)</f>
        <v/>
      </c>
      <c r="Z401" s="12">
        <f>IF(M401="","",IF(M401&lt;0,N(Z400)+1,0))</f>
        <v/>
      </c>
    </row>
    <row r="402">
      <c r="H402" s="7" t="n"/>
      <c r="I402" s="7" t="n"/>
      <c r="J402" s="7" t="n"/>
      <c r="K402" s="7" t="n"/>
      <c r="M402" s="8" t="n"/>
      <c r="P402" s="9" t="n"/>
      <c r="Q402" s="10" t="n"/>
      <c r="R402" s="10" t="n"/>
      <c r="S402" s="11" t="n"/>
      <c r="U402" s="12">
        <f>IF(OR(H402="",I402=""),"",ROUND(Settings!$B$4/ABS(H402-I402),2))</f>
        <v/>
      </c>
      <c r="V402" s="13">
        <f>IF(M402="","",ROUND(M402*Settings!$B$4,2))</f>
        <v/>
      </c>
      <c r="W402" s="12">
        <f>IF(M402="","",SUM($M$2:M402))</f>
        <v/>
      </c>
      <c r="X402" s="12">
        <f>IF(M402="","",MAX(0,N(X401),W402))</f>
        <v/>
      </c>
      <c r="Y402" s="12">
        <f>IF(M402="","",X402-W402)</f>
        <v/>
      </c>
      <c r="Z402" s="12">
        <f>IF(M402="","",IF(M402&lt;0,N(Z401)+1,0))</f>
        <v/>
      </c>
    </row>
    <row r="403">
      <c r="H403" s="7" t="n"/>
      <c r="I403" s="7" t="n"/>
      <c r="J403" s="7" t="n"/>
      <c r="K403" s="7" t="n"/>
      <c r="M403" s="8" t="n"/>
      <c r="P403" s="9" t="n"/>
      <c r="Q403" s="10" t="n"/>
      <c r="R403" s="10" t="n"/>
      <c r="S403" s="11" t="n"/>
      <c r="U403" s="12">
        <f>IF(OR(H403="",I403=""),"",ROUND(Settings!$B$4/ABS(H403-I403),2))</f>
        <v/>
      </c>
      <c r="V403" s="13">
        <f>IF(M403="","",ROUND(M403*Settings!$B$4,2))</f>
        <v/>
      </c>
      <c r="W403" s="12">
        <f>IF(M403="","",SUM($M$2:M403))</f>
        <v/>
      </c>
      <c r="X403" s="12">
        <f>IF(M403="","",MAX(0,N(X402),W403))</f>
        <v/>
      </c>
      <c r="Y403" s="12">
        <f>IF(M403="","",X403-W403)</f>
        <v/>
      </c>
      <c r="Z403" s="12">
        <f>IF(M403="","",IF(M403&lt;0,N(Z402)+1,0))</f>
        <v/>
      </c>
    </row>
    <row r="404">
      <c r="H404" s="7" t="n"/>
      <c r="I404" s="7" t="n"/>
      <c r="J404" s="7" t="n"/>
      <c r="K404" s="7" t="n"/>
      <c r="M404" s="8" t="n"/>
      <c r="P404" s="9" t="n"/>
      <c r="Q404" s="10" t="n"/>
      <c r="R404" s="10" t="n"/>
      <c r="S404" s="11" t="n"/>
      <c r="U404" s="12">
        <f>IF(OR(H404="",I404=""),"",ROUND(Settings!$B$4/ABS(H404-I404),2))</f>
        <v/>
      </c>
      <c r="V404" s="13">
        <f>IF(M404="","",ROUND(M404*Settings!$B$4,2))</f>
        <v/>
      </c>
      <c r="W404" s="12">
        <f>IF(M404="","",SUM($M$2:M404))</f>
        <v/>
      </c>
      <c r="X404" s="12">
        <f>IF(M404="","",MAX(0,N(X403),W404))</f>
        <v/>
      </c>
      <c r="Y404" s="12">
        <f>IF(M404="","",X404-W404)</f>
        <v/>
      </c>
      <c r="Z404" s="12">
        <f>IF(M404="","",IF(M404&lt;0,N(Z403)+1,0))</f>
        <v/>
      </c>
    </row>
    <row r="405">
      <c r="H405" s="7" t="n"/>
      <c r="I405" s="7" t="n"/>
      <c r="J405" s="7" t="n"/>
      <c r="K405" s="7" t="n"/>
      <c r="M405" s="8" t="n"/>
      <c r="P405" s="9" t="n"/>
      <c r="Q405" s="10" t="n"/>
      <c r="R405" s="10" t="n"/>
      <c r="S405" s="11" t="n"/>
      <c r="U405" s="12">
        <f>IF(OR(H405="",I405=""),"",ROUND(Settings!$B$4/ABS(H405-I405),2))</f>
        <v/>
      </c>
      <c r="V405" s="13">
        <f>IF(M405="","",ROUND(M405*Settings!$B$4,2))</f>
        <v/>
      </c>
      <c r="W405" s="12">
        <f>IF(M405="","",SUM($M$2:M405))</f>
        <v/>
      </c>
      <c r="X405" s="12">
        <f>IF(M405="","",MAX(0,N(X404),W405))</f>
        <v/>
      </c>
      <c r="Y405" s="12">
        <f>IF(M405="","",X405-W405)</f>
        <v/>
      </c>
      <c r="Z405" s="12">
        <f>IF(M405="","",IF(M405&lt;0,N(Z404)+1,0))</f>
        <v/>
      </c>
    </row>
    <row r="406">
      <c r="H406" s="7" t="n"/>
      <c r="I406" s="7" t="n"/>
      <c r="J406" s="7" t="n"/>
      <c r="K406" s="7" t="n"/>
      <c r="M406" s="8" t="n"/>
      <c r="P406" s="9" t="n"/>
      <c r="Q406" s="10" t="n"/>
      <c r="R406" s="10" t="n"/>
      <c r="S406" s="11" t="n"/>
      <c r="U406" s="12">
        <f>IF(OR(H406="",I406=""),"",ROUND(Settings!$B$4/ABS(H406-I406),2))</f>
        <v/>
      </c>
      <c r="V406" s="13">
        <f>IF(M406="","",ROUND(M406*Settings!$B$4,2))</f>
        <v/>
      </c>
      <c r="W406" s="12">
        <f>IF(M406="","",SUM($M$2:M406))</f>
        <v/>
      </c>
      <c r="X406" s="12">
        <f>IF(M406="","",MAX(0,N(X405),W406))</f>
        <v/>
      </c>
      <c r="Y406" s="12">
        <f>IF(M406="","",X406-W406)</f>
        <v/>
      </c>
      <c r="Z406" s="12">
        <f>IF(M406="","",IF(M406&lt;0,N(Z405)+1,0))</f>
        <v/>
      </c>
    </row>
    <row r="407">
      <c r="H407" s="7" t="n"/>
      <c r="I407" s="7" t="n"/>
      <c r="J407" s="7" t="n"/>
      <c r="K407" s="7" t="n"/>
      <c r="M407" s="8" t="n"/>
      <c r="P407" s="9" t="n"/>
      <c r="Q407" s="10" t="n"/>
      <c r="R407" s="10" t="n"/>
      <c r="S407" s="11" t="n"/>
      <c r="U407" s="12">
        <f>IF(OR(H407="",I407=""),"",ROUND(Settings!$B$4/ABS(H407-I407),2))</f>
        <v/>
      </c>
      <c r="V407" s="13">
        <f>IF(M407="","",ROUND(M407*Settings!$B$4,2))</f>
        <v/>
      </c>
      <c r="W407" s="12">
        <f>IF(M407="","",SUM($M$2:M407))</f>
        <v/>
      </c>
      <c r="X407" s="12">
        <f>IF(M407="","",MAX(0,N(X406),W407))</f>
        <v/>
      </c>
      <c r="Y407" s="12">
        <f>IF(M407="","",X407-W407)</f>
        <v/>
      </c>
      <c r="Z407" s="12">
        <f>IF(M407="","",IF(M407&lt;0,N(Z406)+1,0))</f>
        <v/>
      </c>
    </row>
    <row r="408">
      <c r="H408" s="7" t="n"/>
      <c r="I408" s="7" t="n"/>
      <c r="J408" s="7" t="n"/>
      <c r="K408" s="7" t="n"/>
      <c r="M408" s="8" t="n"/>
      <c r="P408" s="9" t="n"/>
      <c r="Q408" s="10" t="n"/>
      <c r="R408" s="10" t="n"/>
      <c r="S408" s="11" t="n"/>
      <c r="U408" s="12">
        <f>IF(OR(H408="",I408=""),"",ROUND(Settings!$B$4/ABS(H408-I408),2))</f>
        <v/>
      </c>
      <c r="V408" s="13">
        <f>IF(M408="","",ROUND(M408*Settings!$B$4,2))</f>
        <v/>
      </c>
      <c r="W408" s="12">
        <f>IF(M408="","",SUM($M$2:M408))</f>
        <v/>
      </c>
      <c r="X408" s="12">
        <f>IF(M408="","",MAX(0,N(X407),W408))</f>
        <v/>
      </c>
      <c r="Y408" s="12">
        <f>IF(M408="","",X408-W408)</f>
        <v/>
      </c>
      <c r="Z408" s="12">
        <f>IF(M408="","",IF(M408&lt;0,N(Z407)+1,0))</f>
        <v/>
      </c>
    </row>
    <row r="409">
      <c r="H409" s="7" t="n"/>
      <c r="I409" s="7" t="n"/>
      <c r="J409" s="7" t="n"/>
      <c r="K409" s="7" t="n"/>
      <c r="M409" s="8" t="n"/>
      <c r="P409" s="9" t="n"/>
      <c r="Q409" s="10" t="n"/>
      <c r="R409" s="10" t="n"/>
      <c r="S409" s="11" t="n"/>
      <c r="U409" s="12">
        <f>IF(OR(H409="",I409=""),"",ROUND(Settings!$B$4/ABS(H409-I409),2))</f>
        <v/>
      </c>
      <c r="V409" s="13">
        <f>IF(M409="","",ROUND(M409*Settings!$B$4,2))</f>
        <v/>
      </c>
      <c r="W409" s="12">
        <f>IF(M409="","",SUM($M$2:M409))</f>
        <v/>
      </c>
      <c r="X409" s="12">
        <f>IF(M409="","",MAX(0,N(X408),W409))</f>
        <v/>
      </c>
      <c r="Y409" s="12">
        <f>IF(M409="","",X409-W409)</f>
        <v/>
      </c>
      <c r="Z409" s="12">
        <f>IF(M409="","",IF(M409&lt;0,N(Z408)+1,0))</f>
        <v/>
      </c>
    </row>
    <row r="410">
      <c r="H410" s="7" t="n"/>
      <c r="I410" s="7" t="n"/>
      <c r="J410" s="7" t="n"/>
      <c r="K410" s="7" t="n"/>
      <c r="M410" s="8" t="n"/>
      <c r="P410" s="9" t="n"/>
      <c r="Q410" s="10" t="n"/>
      <c r="R410" s="10" t="n"/>
      <c r="S410" s="11" t="n"/>
      <c r="U410" s="12">
        <f>IF(OR(H410="",I410=""),"",ROUND(Settings!$B$4/ABS(H410-I410),2))</f>
        <v/>
      </c>
      <c r="V410" s="13">
        <f>IF(M410="","",ROUND(M410*Settings!$B$4,2))</f>
        <v/>
      </c>
      <c r="W410" s="12">
        <f>IF(M410="","",SUM($M$2:M410))</f>
        <v/>
      </c>
      <c r="X410" s="12">
        <f>IF(M410="","",MAX(0,N(X409),W410))</f>
        <v/>
      </c>
      <c r="Y410" s="12">
        <f>IF(M410="","",X410-W410)</f>
        <v/>
      </c>
      <c r="Z410" s="12">
        <f>IF(M410="","",IF(M410&lt;0,N(Z409)+1,0))</f>
        <v/>
      </c>
    </row>
    <row r="411">
      <c r="H411" s="7" t="n"/>
      <c r="I411" s="7" t="n"/>
      <c r="J411" s="7" t="n"/>
      <c r="K411" s="7" t="n"/>
      <c r="M411" s="8" t="n"/>
      <c r="P411" s="9" t="n"/>
      <c r="Q411" s="10" t="n"/>
      <c r="R411" s="10" t="n"/>
      <c r="S411" s="11" t="n"/>
      <c r="U411" s="12">
        <f>IF(OR(H411="",I411=""),"",ROUND(Settings!$B$4/ABS(H411-I411),2))</f>
        <v/>
      </c>
      <c r="V411" s="13">
        <f>IF(M411="","",ROUND(M411*Settings!$B$4,2))</f>
        <v/>
      </c>
      <c r="W411" s="12">
        <f>IF(M411="","",SUM($M$2:M411))</f>
        <v/>
      </c>
      <c r="X411" s="12">
        <f>IF(M411="","",MAX(0,N(X410),W411))</f>
        <v/>
      </c>
      <c r="Y411" s="12">
        <f>IF(M411="","",X411-W411)</f>
        <v/>
      </c>
      <c r="Z411" s="12">
        <f>IF(M411="","",IF(M411&lt;0,N(Z410)+1,0))</f>
        <v/>
      </c>
    </row>
    <row r="412">
      <c r="H412" s="7" t="n"/>
      <c r="I412" s="7" t="n"/>
      <c r="J412" s="7" t="n"/>
      <c r="K412" s="7" t="n"/>
      <c r="M412" s="8" t="n"/>
      <c r="P412" s="9" t="n"/>
      <c r="Q412" s="10" t="n"/>
      <c r="R412" s="10" t="n"/>
      <c r="S412" s="11" t="n"/>
      <c r="U412" s="12">
        <f>IF(OR(H412="",I412=""),"",ROUND(Settings!$B$4/ABS(H412-I412),2))</f>
        <v/>
      </c>
      <c r="V412" s="13">
        <f>IF(M412="","",ROUND(M412*Settings!$B$4,2))</f>
        <v/>
      </c>
      <c r="W412" s="12">
        <f>IF(M412="","",SUM($M$2:M412))</f>
        <v/>
      </c>
      <c r="X412" s="12">
        <f>IF(M412="","",MAX(0,N(X411),W412))</f>
        <v/>
      </c>
      <c r="Y412" s="12">
        <f>IF(M412="","",X412-W412)</f>
        <v/>
      </c>
      <c r="Z412" s="12">
        <f>IF(M412="","",IF(M412&lt;0,N(Z411)+1,0))</f>
        <v/>
      </c>
    </row>
    <row r="413">
      <c r="H413" s="7" t="n"/>
      <c r="I413" s="7" t="n"/>
      <c r="J413" s="7" t="n"/>
      <c r="K413" s="7" t="n"/>
      <c r="M413" s="8" t="n"/>
      <c r="P413" s="9" t="n"/>
      <c r="Q413" s="10" t="n"/>
      <c r="R413" s="10" t="n"/>
      <c r="S413" s="11" t="n"/>
      <c r="U413" s="12">
        <f>IF(OR(H413="",I413=""),"",ROUND(Settings!$B$4/ABS(H413-I413),2))</f>
        <v/>
      </c>
      <c r="V413" s="13">
        <f>IF(M413="","",ROUND(M413*Settings!$B$4,2))</f>
        <v/>
      </c>
      <c r="W413" s="12">
        <f>IF(M413="","",SUM($M$2:M413))</f>
        <v/>
      </c>
      <c r="X413" s="12">
        <f>IF(M413="","",MAX(0,N(X412),W413))</f>
        <v/>
      </c>
      <c r="Y413" s="12">
        <f>IF(M413="","",X413-W413)</f>
        <v/>
      </c>
      <c r="Z413" s="12">
        <f>IF(M413="","",IF(M413&lt;0,N(Z412)+1,0))</f>
        <v/>
      </c>
    </row>
    <row r="414">
      <c r="H414" s="7" t="n"/>
      <c r="I414" s="7" t="n"/>
      <c r="J414" s="7" t="n"/>
      <c r="K414" s="7" t="n"/>
      <c r="M414" s="8" t="n"/>
      <c r="P414" s="9" t="n"/>
      <c r="Q414" s="10" t="n"/>
      <c r="R414" s="10" t="n"/>
      <c r="S414" s="11" t="n"/>
      <c r="U414" s="12">
        <f>IF(OR(H414="",I414=""),"",ROUND(Settings!$B$4/ABS(H414-I414),2))</f>
        <v/>
      </c>
      <c r="V414" s="13">
        <f>IF(M414="","",ROUND(M414*Settings!$B$4,2))</f>
        <v/>
      </c>
      <c r="W414" s="12">
        <f>IF(M414="","",SUM($M$2:M414))</f>
        <v/>
      </c>
      <c r="X414" s="12">
        <f>IF(M414="","",MAX(0,N(X413),W414))</f>
        <v/>
      </c>
      <c r="Y414" s="12">
        <f>IF(M414="","",X414-W414)</f>
        <v/>
      </c>
      <c r="Z414" s="12">
        <f>IF(M414="","",IF(M414&lt;0,N(Z413)+1,0))</f>
        <v/>
      </c>
    </row>
    <row r="415">
      <c r="H415" s="7" t="n"/>
      <c r="I415" s="7" t="n"/>
      <c r="J415" s="7" t="n"/>
      <c r="K415" s="7" t="n"/>
      <c r="M415" s="8" t="n"/>
      <c r="P415" s="9" t="n"/>
      <c r="Q415" s="10" t="n"/>
      <c r="R415" s="10" t="n"/>
      <c r="S415" s="11" t="n"/>
      <c r="U415" s="12">
        <f>IF(OR(H415="",I415=""),"",ROUND(Settings!$B$4/ABS(H415-I415),2))</f>
        <v/>
      </c>
      <c r="V415" s="13">
        <f>IF(M415="","",ROUND(M415*Settings!$B$4,2))</f>
        <v/>
      </c>
      <c r="W415" s="12">
        <f>IF(M415="","",SUM($M$2:M415))</f>
        <v/>
      </c>
      <c r="X415" s="12">
        <f>IF(M415="","",MAX(0,N(X414),W415))</f>
        <v/>
      </c>
      <c r="Y415" s="12">
        <f>IF(M415="","",X415-W415)</f>
        <v/>
      </c>
      <c r="Z415" s="12">
        <f>IF(M415="","",IF(M415&lt;0,N(Z414)+1,0))</f>
        <v/>
      </c>
    </row>
    <row r="416">
      <c r="H416" s="7" t="n"/>
      <c r="I416" s="7" t="n"/>
      <c r="J416" s="7" t="n"/>
      <c r="K416" s="7" t="n"/>
      <c r="M416" s="8" t="n"/>
      <c r="P416" s="9" t="n"/>
      <c r="Q416" s="10" t="n"/>
      <c r="R416" s="10" t="n"/>
      <c r="S416" s="11" t="n"/>
      <c r="U416" s="12">
        <f>IF(OR(H416="",I416=""),"",ROUND(Settings!$B$4/ABS(H416-I416),2))</f>
        <v/>
      </c>
      <c r="V416" s="13">
        <f>IF(M416="","",ROUND(M416*Settings!$B$4,2))</f>
        <v/>
      </c>
      <c r="W416" s="12">
        <f>IF(M416="","",SUM($M$2:M416))</f>
        <v/>
      </c>
      <c r="X416" s="12">
        <f>IF(M416="","",MAX(0,N(X415),W416))</f>
        <v/>
      </c>
      <c r="Y416" s="12">
        <f>IF(M416="","",X416-W416)</f>
        <v/>
      </c>
      <c r="Z416" s="12">
        <f>IF(M416="","",IF(M416&lt;0,N(Z415)+1,0))</f>
        <v/>
      </c>
    </row>
    <row r="417">
      <c r="H417" s="7" t="n"/>
      <c r="I417" s="7" t="n"/>
      <c r="J417" s="7" t="n"/>
      <c r="K417" s="7" t="n"/>
      <c r="M417" s="8" t="n"/>
      <c r="P417" s="9" t="n"/>
      <c r="Q417" s="10" t="n"/>
      <c r="R417" s="10" t="n"/>
      <c r="S417" s="11" t="n"/>
      <c r="U417" s="12">
        <f>IF(OR(H417="",I417=""),"",ROUND(Settings!$B$4/ABS(H417-I417),2))</f>
        <v/>
      </c>
      <c r="V417" s="13">
        <f>IF(M417="","",ROUND(M417*Settings!$B$4,2))</f>
        <v/>
      </c>
      <c r="W417" s="12">
        <f>IF(M417="","",SUM($M$2:M417))</f>
        <v/>
      </c>
      <c r="X417" s="12">
        <f>IF(M417="","",MAX(0,N(X416),W417))</f>
        <v/>
      </c>
      <c r="Y417" s="12">
        <f>IF(M417="","",X417-W417)</f>
        <v/>
      </c>
      <c r="Z417" s="12">
        <f>IF(M417="","",IF(M417&lt;0,N(Z416)+1,0))</f>
        <v/>
      </c>
    </row>
    <row r="418">
      <c r="H418" s="7" t="n"/>
      <c r="I418" s="7" t="n"/>
      <c r="J418" s="7" t="n"/>
      <c r="K418" s="7" t="n"/>
      <c r="M418" s="8" t="n"/>
      <c r="P418" s="9" t="n"/>
      <c r="Q418" s="10" t="n"/>
      <c r="R418" s="10" t="n"/>
      <c r="S418" s="11" t="n"/>
      <c r="U418" s="12">
        <f>IF(OR(H418="",I418=""),"",ROUND(Settings!$B$4/ABS(H418-I418),2))</f>
        <v/>
      </c>
      <c r="V418" s="13">
        <f>IF(M418="","",ROUND(M418*Settings!$B$4,2))</f>
        <v/>
      </c>
      <c r="W418" s="12">
        <f>IF(M418="","",SUM($M$2:M418))</f>
        <v/>
      </c>
      <c r="X418" s="12">
        <f>IF(M418="","",MAX(0,N(X417),W418))</f>
        <v/>
      </c>
      <c r="Y418" s="12">
        <f>IF(M418="","",X418-W418)</f>
        <v/>
      </c>
      <c r="Z418" s="12">
        <f>IF(M418="","",IF(M418&lt;0,N(Z417)+1,0))</f>
        <v/>
      </c>
    </row>
    <row r="419">
      <c r="H419" s="7" t="n"/>
      <c r="I419" s="7" t="n"/>
      <c r="J419" s="7" t="n"/>
      <c r="K419" s="7" t="n"/>
      <c r="M419" s="8" t="n"/>
      <c r="P419" s="9" t="n"/>
      <c r="Q419" s="10" t="n"/>
      <c r="R419" s="10" t="n"/>
      <c r="S419" s="11" t="n"/>
      <c r="U419" s="12">
        <f>IF(OR(H419="",I419=""),"",ROUND(Settings!$B$4/ABS(H419-I419),2))</f>
        <v/>
      </c>
      <c r="V419" s="13">
        <f>IF(M419="","",ROUND(M419*Settings!$B$4,2))</f>
        <v/>
      </c>
      <c r="W419" s="12">
        <f>IF(M419="","",SUM($M$2:M419))</f>
        <v/>
      </c>
      <c r="X419" s="12">
        <f>IF(M419="","",MAX(0,N(X418),W419))</f>
        <v/>
      </c>
      <c r="Y419" s="12">
        <f>IF(M419="","",X419-W419)</f>
        <v/>
      </c>
      <c r="Z419" s="12">
        <f>IF(M419="","",IF(M419&lt;0,N(Z418)+1,0))</f>
        <v/>
      </c>
    </row>
    <row r="420">
      <c r="H420" s="7" t="n"/>
      <c r="I420" s="7" t="n"/>
      <c r="J420" s="7" t="n"/>
      <c r="K420" s="7" t="n"/>
      <c r="M420" s="8" t="n"/>
      <c r="P420" s="9" t="n"/>
      <c r="Q420" s="10" t="n"/>
      <c r="R420" s="10" t="n"/>
      <c r="S420" s="11" t="n"/>
      <c r="U420" s="12">
        <f>IF(OR(H420="",I420=""),"",ROUND(Settings!$B$4/ABS(H420-I420),2))</f>
        <v/>
      </c>
      <c r="V420" s="13">
        <f>IF(M420="","",ROUND(M420*Settings!$B$4,2))</f>
        <v/>
      </c>
      <c r="W420" s="12">
        <f>IF(M420="","",SUM($M$2:M420))</f>
        <v/>
      </c>
      <c r="X420" s="12">
        <f>IF(M420="","",MAX(0,N(X419),W420))</f>
        <v/>
      </c>
      <c r="Y420" s="12">
        <f>IF(M420="","",X420-W420)</f>
        <v/>
      </c>
      <c r="Z420" s="12">
        <f>IF(M420="","",IF(M420&lt;0,N(Z419)+1,0))</f>
        <v/>
      </c>
    </row>
    <row r="421">
      <c r="H421" s="7" t="n"/>
      <c r="I421" s="7" t="n"/>
      <c r="J421" s="7" t="n"/>
      <c r="K421" s="7" t="n"/>
      <c r="M421" s="8" t="n"/>
      <c r="P421" s="9" t="n"/>
      <c r="Q421" s="10" t="n"/>
      <c r="R421" s="10" t="n"/>
      <c r="S421" s="11" t="n"/>
      <c r="U421" s="12">
        <f>IF(OR(H421="",I421=""),"",ROUND(Settings!$B$4/ABS(H421-I421),2))</f>
        <v/>
      </c>
      <c r="V421" s="13">
        <f>IF(M421="","",ROUND(M421*Settings!$B$4,2))</f>
        <v/>
      </c>
      <c r="W421" s="12">
        <f>IF(M421="","",SUM($M$2:M421))</f>
        <v/>
      </c>
      <c r="X421" s="12">
        <f>IF(M421="","",MAX(0,N(X420),W421))</f>
        <v/>
      </c>
      <c r="Y421" s="12">
        <f>IF(M421="","",X421-W421)</f>
        <v/>
      </c>
      <c r="Z421" s="12">
        <f>IF(M421="","",IF(M421&lt;0,N(Z420)+1,0))</f>
        <v/>
      </c>
    </row>
    <row r="422">
      <c r="H422" s="7" t="n"/>
      <c r="I422" s="7" t="n"/>
      <c r="J422" s="7" t="n"/>
      <c r="K422" s="7" t="n"/>
      <c r="M422" s="8" t="n"/>
      <c r="P422" s="9" t="n"/>
      <c r="Q422" s="10" t="n"/>
      <c r="R422" s="10" t="n"/>
      <c r="S422" s="11" t="n"/>
      <c r="U422" s="12">
        <f>IF(OR(H422="",I422=""),"",ROUND(Settings!$B$4/ABS(H422-I422),2))</f>
        <v/>
      </c>
      <c r="V422" s="13">
        <f>IF(M422="","",ROUND(M422*Settings!$B$4,2))</f>
        <v/>
      </c>
      <c r="W422" s="12">
        <f>IF(M422="","",SUM($M$2:M422))</f>
        <v/>
      </c>
      <c r="X422" s="12">
        <f>IF(M422="","",MAX(0,N(X421),W422))</f>
        <v/>
      </c>
      <c r="Y422" s="12">
        <f>IF(M422="","",X422-W422)</f>
        <v/>
      </c>
      <c r="Z422" s="12">
        <f>IF(M422="","",IF(M422&lt;0,N(Z421)+1,0))</f>
        <v/>
      </c>
    </row>
    <row r="423">
      <c r="H423" s="7" t="n"/>
      <c r="I423" s="7" t="n"/>
      <c r="J423" s="7" t="n"/>
      <c r="K423" s="7" t="n"/>
      <c r="M423" s="8" t="n"/>
      <c r="P423" s="9" t="n"/>
      <c r="Q423" s="10" t="n"/>
      <c r="R423" s="10" t="n"/>
      <c r="S423" s="11" t="n"/>
      <c r="U423" s="12">
        <f>IF(OR(H423="",I423=""),"",ROUND(Settings!$B$4/ABS(H423-I423),2))</f>
        <v/>
      </c>
      <c r="V423" s="13">
        <f>IF(M423="","",ROUND(M423*Settings!$B$4,2))</f>
        <v/>
      </c>
      <c r="W423" s="12">
        <f>IF(M423="","",SUM($M$2:M423))</f>
        <v/>
      </c>
      <c r="X423" s="12">
        <f>IF(M423="","",MAX(0,N(X422),W423))</f>
        <v/>
      </c>
      <c r="Y423" s="12">
        <f>IF(M423="","",X423-W423)</f>
        <v/>
      </c>
      <c r="Z423" s="12">
        <f>IF(M423="","",IF(M423&lt;0,N(Z422)+1,0))</f>
        <v/>
      </c>
    </row>
    <row r="424">
      <c r="H424" s="7" t="n"/>
      <c r="I424" s="7" t="n"/>
      <c r="J424" s="7" t="n"/>
      <c r="K424" s="7" t="n"/>
      <c r="M424" s="8" t="n"/>
      <c r="P424" s="9" t="n"/>
      <c r="Q424" s="10" t="n"/>
      <c r="R424" s="10" t="n"/>
      <c r="S424" s="11" t="n"/>
      <c r="U424" s="12">
        <f>IF(OR(H424="",I424=""),"",ROUND(Settings!$B$4/ABS(H424-I424),2))</f>
        <v/>
      </c>
      <c r="V424" s="13">
        <f>IF(M424="","",ROUND(M424*Settings!$B$4,2))</f>
        <v/>
      </c>
      <c r="W424" s="12">
        <f>IF(M424="","",SUM($M$2:M424))</f>
        <v/>
      </c>
      <c r="X424" s="12">
        <f>IF(M424="","",MAX(0,N(X423),W424))</f>
        <v/>
      </c>
      <c r="Y424" s="12">
        <f>IF(M424="","",X424-W424)</f>
        <v/>
      </c>
      <c r="Z424" s="12">
        <f>IF(M424="","",IF(M424&lt;0,N(Z423)+1,0))</f>
        <v/>
      </c>
    </row>
    <row r="425">
      <c r="H425" s="7" t="n"/>
      <c r="I425" s="7" t="n"/>
      <c r="J425" s="7" t="n"/>
      <c r="K425" s="7" t="n"/>
      <c r="M425" s="8" t="n"/>
      <c r="P425" s="9" t="n"/>
      <c r="Q425" s="10" t="n"/>
      <c r="R425" s="10" t="n"/>
      <c r="S425" s="11" t="n"/>
      <c r="U425" s="12">
        <f>IF(OR(H425="",I425=""),"",ROUND(Settings!$B$4/ABS(H425-I425),2))</f>
        <v/>
      </c>
      <c r="V425" s="13">
        <f>IF(M425="","",ROUND(M425*Settings!$B$4,2))</f>
        <v/>
      </c>
      <c r="W425" s="12">
        <f>IF(M425="","",SUM($M$2:M425))</f>
        <v/>
      </c>
      <c r="X425" s="12">
        <f>IF(M425="","",MAX(0,N(X424),W425))</f>
        <v/>
      </c>
      <c r="Y425" s="12">
        <f>IF(M425="","",X425-W425)</f>
        <v/>
      </c>
      <c r="Z425" s="12">
        <f>IF(M425="","",IF(M425&lt;0,N(Z424)+1,0))</f>
        <v/>
      </c>
    </row>
    <row r="426">
      <c r="H426" s="7" t="n"/>
      <c r="I426" s="7" t="n"/>
      <c r="J426" s="7" t="n"/>
      <c r="K426" s="7" t="n"/>
      <c r="M426" s="8" t="n"/>
      <c r="P426" s="9" t="n"/>
      <c r="Q426" s="10" t="n"/>
      <c r="R426" s="10" t="n"/>
      <c r="S426" s="11" t="n"/>
      <c r="U426" s="12">
        <f>IF(OR(H426="",I426=""),"",ROUND(Settings!$B$4/ABS(H426-I426),2))</f>
        <v/>
      </c>
      <c r="V426" s="13">
        <f>IF(M426="","",ROUND(M426*Settings!$B$4,2))</f>
        <v/>
      </c>
      <c r="W426" s="12">
        <f>IF(M426="","",SUM($M$2:M426))</f>
        <v/>
      </c>
      <c r="X426" s="12">
        <f>IF(M426="","",MAX(0,N(X425),W426))</f>
        <v/>
      </c>
      <c r="Y426" s="12">
        <f>IF(M426="","",X426-W426)</f>
        <v/>
      </c>
      <c r="Z426" s="12">
        <f>IF(M426="","",IF(M426&lt;0,N(Z425)+1,0))</f>
        <v/>
      </c>
    </row>
    <row r="427">
      <c r="H427" s="7" t="n"/>
      <c r="I427" s="7" t="n"/>
      <c r="J427" s="7" t="n"/>
      <c r="K427" s="7" t="n"/>
      <c r="M427" s="8" t="n"/>
      <c r="P427" s="9" t="n"/>
      <c r="Q427" s="10" t="n"/>
      <c r="R427" s="10" t="n"/>
      <c r="S427" s="11" t="n"/>
      <c r="U427" s="12">
        <f>IF(OR(H427="",I427=""),"",ROUND(Settings!$B$4/ABS(H427-I427),2))</f>
        <v/>
      </c>
      <c r="V427" s="13">
        <f>IF(M427="","",ROUND(M427*Settings!$B$4,2))</f>
        <v/>
      </c>
      <c r="W427" s="12">
        <f>IF(M427="","",SUM($M$2:M427))</f>
        <v/>
      </c>
      <c r="X427" s="12">
        <f>IF(M427="","",MAX(0,N(X426),W427))</f>
        <v/>
      </c>
      <c r="Y427" s="12">
        <f>IF(M427="","",X427-W427)</f>
        <v/>
      </c>
      <c r="Z427" s="12">
        <f>IF(M427="","",IF(M427&lt;0,N(Z426)+1,0))</f>
        <v/>
      </c>
    </row>
    <row r="428">
      <c r="H428" s="7" t="n"/>
      <c r="I428" s="7" t="n"/>
      <c r="J428" s="7" t="n"/>
      <c r="K428" s="7" t="n"/>
      <c r="M428" s="8" t="n"/>
      <c r="P428" s="9" t="n"/>
      <c r="Q428" s="10" t="n"/>
      <c r="R428" s="10" t="n"/>
      <c r="S428" s="11" t="n"/>
      <c r="U428" s="12">
        <f>IF(OR(H428="",I428=""),"",ROUND(Settings!$B$4/ABS(H428-I428),2))</f>
        <v/>
      </c>
      <c r="V428" s="13">
        <f>IF(M428="","",ROUND(M428*Settings!$B$4,2))</f>
        <v/>
      </c>
      <c r="W428" s="12">
        <f>IF(M428="","",SUM($M$2:M428))</f>
        <v/>
      </c>
      <c r="X428" s="12">
        <f>IF(M428="","",MAX(0,N(X427),W428))</f>
        <v/>
      </c>
      <c r="Y428" s="12">
        <f>IF(M428="","",X428-W428)</f>
        <v/>
      </c>
      <c r="Z428" s="12">
        <f>IF(M428="","",IF(M428&lt;0,N(Z427)+1,0))</f>
        <v/>
      </c>
    </row>
    <row r="429">
      <c r="H429" s="7" t="n"/>
      <c r="I429" s="7" t="n"/>
      <c r="J429" s="7" t="n"/>
      <c r="K429" s="7" t="n"/>
      <c r="M429" s="8" t="n"/>
      <c r="P429" s="9" t="n"/>
      <c r="Q429" s="10" t="n"/>
      <c r="R429" s="10" t="n"/>
      <c r="S429" s="11" t="n"/>
      <c r="U429" s="12">
        <f>IF(OR(H429="",I429=""),"",ROUND(Settings!$B$4/ABS(H429-I429),2))</f>
        <v/>
      </c>
      <c r="V429" s="13">
        <f>IF(M429="","",ROUND(M429*Settings!$B$4,2))</f>
        <v/>
      </c>
      <c r="W429" s="12">
        <f>IF(M429="","",SUM($M$2:M429))</f>
        <v/>
      </c>
      <c r="X429" s="12">
        <f>IF(M429="","",MAX(0,N(X428),W429))</f>
        <v/>
      </c>
      <c r="Y429" s="12">
        <f>IF(M429="","",X429-W429)</f>
        <v/>
      </c>
      <c r="Z429" s="12">
        <f>IF(M429="","",IF(M429&lt;0,N(Z428)+1,0))</f>
        <v/>
      </c>
    </row>
    <row r="430">
      <c r="H430" s="7" t="n"/>
      <c r="I430" s="7" t="n"/>
      <c r="J430" s="7" t="n"/>
      <c r="K430" s="7" t="n"/>
      <c r="M430" s="8" t="n"/>
      <c r="P430" s="9" t="n"/>
      <c r="Q430" s="10" t="n"/>
      <c r="R430" s="10" t="n"/>
      <c r="S430" s="11" t="n"/>
      <c r="U430" s="12">
        <f>IF(OR(H430="",I430=""),"",ROUND(Settings!$B$4/ABS(H430-I430),2))</f>
        <v/>
      </c>
      <c r="V430" s="13">
        <f>IF(M430="","",ROUND(M430*Settings!$B$4,2))</f>
        <v/>
      </c>
      <c r="W430" s="12">
        <f>IF(M430="","",SUM($M$2:M430))</f>
        <v/>
      </c>
      <c r="X430" s="12">
        <f>IF(M430="","",MAX(0,N(X429),W430))</f>
        <v/>
      </c>
      <c r="Y430" s="12">
        <f>IF(M430="","",X430-W430)</f>
        <v/>
      </c>
      <c r="Z430" s="12">
        <f>IF(M430="","",IF(M430&lt;0,N(Z429)+1,0))</f>
        <v/>
      </c>
    </row>
    <row r="431">
      <c r="H431" s="7" t="n"/>
      <c r="I431" s="7" t="n"/>
      <c r="J431" s="7" t="n"/>
      <c r="K431" s="7" t="n"/>
      <c r="M431" s="8" t="n"/>
      <c r="P431" s="9" t="n"/>
      <c r="Q431" s="10" t="n"/>
      <c r="R431" s="10" t="n"/>
      <c r="S431" s="11" t="n"/>
      <c r="U431" s="12">
        <f>IF(OR(H431="",I431=""),"",ROUND(Settings!$B$4/ABS(H431-I431),2))</f>
        <v/>
      </c>
      <c r="V431" s="13">
        <f>IF(M431="","",ROUND(M431*Settings!$B$4,2))</f>
        <v/>
      </c>
      <c r="W431" s="12">
        <f>IF(M431="","",SUM($M$2:M431))</f>
        <v/>
      </c>
      <c r="X431" s="12">
        <f>IF(M431="","",MAX(0,N(X430),W431))</f>
        <v/>
      </c>
      <c r="Y431" s="12">
        <f>IF(M431="","",X431-W431)</f>
        <v/>
      </c>
      <c r="Z431" s="12">
        <f>IF(M431="","",IF(M431&lt;0,N(Z430)+1,0))</f>
        <v/>
      </c>
    </row>
    <row r="432">
      <c r="H432" s="7" t="n"/>
      <c r="I432" s="7" t="n"/>
      <c r="J432" s="7" t="n"/>
      <c r="K432" s="7" t="n"/>
      <c r="M432" s="8" t="n"/>
      <c r="P432" s="9" t="n"/>
      <c r="Q432" s="10" t="n"/>
      <c r="R432" s="10" t="n"/>
      <c r="S432" s="11" t="n"/>
      <c r="U432" s="12">
        <f>IF(OR(H432="",I432=""),"",ROUND(Settings!$B$4/ABS(H432-I432),2))</f>
        <v/>
      </c>
      <c r="V432" s="13">
        <f>IF(M432="","",ROUND(M432*Settings!$B$4,2))</f>
        <v/>
      </c>
      <c r="W432" s="12">
        <f>IF(M432="","",SUM($M$2:M432))</f>
        <v/>
      </c>
      <c r="X432" s="12">
        <f>IF(M432="","",MAX(0,N(X431),W432))</f>
        <v/>
      </c>
      <c r="Y432" s="12">
        <f>IF(M432="","",X432-W432)</f>
        <v/>
      </c>
      <c r="Z432" s="12">
        <f>IF(M432="","",IF(M432&lt;0,N(Z431)+1,0))</f>
        <v/>
      </c>
    </row>
    <row r="433">
      <c r="H433" s="7" t="n"/>
      <c r="I433" s="7" t="n"/>
      <c r="J433" s="7" t="n"/>
      <c r="K433" s="7" t="n"/>
      <c r="M433" s="8" t="n"/>
      <c r="P433" s="9" t="n"/>
      <c r="Q433" s="10" t="n"/>
      <c r="R433" s="10" t="n"/>
      <c r="S433" s="11" t="n"/>
      <c r="U433" s="12">
        <f>IF(OR(H433="",I433=""),"",ROUND(Settings!$B$4/ABS(H433-I433),2))</f>
        <v/>
      </c>
      <c r="V433" s="13">
        <f>IF(M433="","",ROUND(M433*Settings!$B$4,2))</f>
        <v/>
      </c>
      <c r="W433" s="12">
        <f>IF(M433="","",SUM($M$2:M433))</f>
        <v/>
      </c>
      <c r="X433" s="12">
        <f>IF(M433="","",MAX(0,N(X432),W433))</f>
        <v/>
      </c>
      <c r="Y433" s="12">
        <f>IF(M433="","",X433-W433)</f>
        <v/>
      </c>
      <c r="Z433" s="12">
        <f>IF(M433="","",IF(M433&lt;0,N(Z432)+1,0))</f>
        <v/>
      </c>
    </row>
    <row r="434">
      <c r="H434" s="7" t="n"/>
      <c r="I434" s="7" t="n"/>
      <c r="J434" s="7" t="n"/>
      <c r="K434" s="7" t="n"/>
      <c r="M434" s="8" t="n"/>
      <c r="P434" s="9" t="n"/>
      <c r="Q434" s="10" t="n"/>
      <c r="R434" s="10" t="n"/>
      <c r="S434" s="11" t="n"/>
      <c r="U434" s="12">
        <f>IF(OR(H434="",I434=""),"",ROUND(Settings!$B$4/ABS(H434-I434),2))</f>
        <v/>
      </c>
      <c r="V434" s="13">
        <f>IF(M434="","",ROUND(M434*Settings!$B$4,2))</f>
        <v/>
      </c>
      <c r="W434" s="12">
        <f>IF(M434="","",SUM($M$2:M434))</f>
        <v/>
      </c>
      <c r="X434" s="12">
        <f>IF(M434="","",MAX(0,N(X433),W434))</f>
        <v/>
      </c>
      <c r="Y434" s="12">
        <f>IF(M434="","",X434-W434)</f>
        <v/>
      </c>
      <c r="Z434" s="12">
        <f>IF(M434="","",IF(M434&lt;0,N(Z433)+1,0))</f>
        <v/>
      </c>
    </row>
    <row r="435">
      <c r="H435" s="7" t="n"/>
      <c r="I435" s="7" t="n"/>
      <c r="J435" s="7" t="n"/>
      <c r="K435" s="7" t="n"/>
      <c r="M435" s="8" t="n"/>
      <c r="P435" s="9" t="n"/>
      <c r="Q435" s="10" t="n"/>
      <c r="R435" s="10" t="n"/>
      <c r="S435" s="11" t="n"/>
      <c r="U435" s="12">
        <f>IF(OR(H435="",I435=""),"",ROUND(Settings!$B$4/ABS(H435-I435),2))</f>
        <v/>
      </c>
      <c r="V435" s="13">
        <f>IF(M435="","",ROUND(M435*Settings!$B$4,2))</f>
        <v/>
      </c>
      <c r="W435" s="12">
        <f>IF(M435="","",SUM($M$2:M435))</f>
        <v/>
      </c>
      <c r="X435" s="12">
        <f>IF(M435="","",MAX(0,N(X434),W435))</f>
        <v/>
      </c>
      <c r="Y435" s="12">
        <f>IF(M435="","",X435-W435)</f>
        <v/>
      </c>
      <c r="Z435" s="12">
        <f>IF(M435="","",IF(M435&lt;0,N(Z434)+1,0))</f>
        <v/>
      </c>
    </row>
    <row r="436">
      <c r="H436" s="7" t="n"/>
      <c r="I436" s="7" t="n"/>
      <c r="J436" s="7" t="n"/>
      <c r="K436" s="7" t="n"/>
      <c r="M436" s="8" t="n"/>
      <c r="P436" s="9" t="n"/>
      <c r="Q436" s="10" t="n"/>
      <c r="R436" s="10" t="n"/>
      <c r="S436" s="11" t="n"/>
      <c r="U436" s="12">
        <f>IF(OR(H436="",I436=""),"",ROUND(Settings!$B$4/ABS(H436-I436),2))</f>
        <v/>
      </c>
      <c r="V436" s="13">
        <f>IF(M436="","",ROUND(M436*Settings!$B$4,2))</f>
        <v/>
      </c>
      <c r="W436" s="12">
        <f>IF(M436="","",SUM($M$2:M436))</f>
        <v/>
      </c>
      <c r="X436" s="12">
        <f>IF(M436="","",MAX(0,N(X435),W436))</f>
        <v/>
      </c>
      <c r="Y436" s="12">
        <f>IF(M436="","",X436-W436)</f>
        <v/>
      </c>
      <c r="Z436" s="12">
        <f>IF(M436="","",IF(M436&lt;0,N(Z435)+1,0))</f>
        <v/>
      </c>
    </row>
    <row r="437">
      <c r="H437" s="7" t="n"/>
      <c r="I437" s="7" t="n"/>
      <c r="J437" s="7" t="n"/>
      <c r="K437" s="7" t="n"/>
      <c r="M437" s="8" t="n"/>
      <c r="P437" s="9" t="n"/>
      <c r="Q437" s="10" t="n"/>
      <c r="R437" s="10" t="n"/>
      <c r="S437" s="11" t="n"/>
      <c r="U437" s="12">
        <f>IF(OR(H437="",I437=""),"",ROUND(Settings!$B$4/ABS(H437-I437),2))</f>
        <v/>
      </c>
      <c r="V437" s="13">
        <f>IF(M437="","",ROUND(M437*Settings!$B$4,2))</f>
        <v/>
      </c>
      <c r="W437" s="12">
        <f>IF(M437="","",SUM($M$2:M437))</f>
        <v/>
      </c>
      <c r="X437" s="12">
        <f>IF(M437="","",MAX(0,N(X436),W437))</f>
        <v/>
      </c>
      <c r="Y437" s="12">
        <f>IF(M437="","",X437-W437)</f>
        <v/>
      </c>
      <c r="Z437" s="12">
        <f>IF(M437="","",IF(M437&lt;0,N(Z436)+1,0))</f>
        <v/>
      </c>
    </row>
    <row r="438">
      <c r="H438" s="7" t="n"/>
      <c r="I438" s="7" t="n"/>
      <c r="J438" s="7" t="n"/>
      <c r="K438" s="7" t="n"/>
      <c r="M438" s="8" t="n"/>
      <c r="P438" s="9" t="n"/>
      <c r="Q438" s="10" t="n"/>
      <c r="R438" s="10" t="n"/>
      <c r="S438" s="11" t="n"/>
      <c r="U438" s="12">
        <f>IF(OR(H438="",I438=""),"",ROUND(Settings!$B$4/ABS(H438-I438),2))</f>
        <v/>
      </c>
      <c r="V438" s="13">
        <f>IF(M438="","",ROUND(M438*Settings!$B$4,2))</f>
        <v/>
      </c>
      <c r="W438" s="12">
        <f>IF(M438="","",SUM($M$2:M438))</f>
        <v/>
      </c>
      <c r="X438" s="12">
        <f>IF(M438="","",MAX(0,N(X437),W438))</f>
        <v/>
      </c>
      <c r="Y438" s="12">
        <f>IF(M438="","",X438-W438)</f>
        <v/>
      </c>
      <c r="Z438" s="12">
        <f>IF(M438="","",IF(M438&lt;0,N(Z437)+1,0))</f>
        <v/>
      </c>
    </row>
    <row r="439">
      <c r="H439" s="7" t="n"/>
      <c r="I439" s="7" t="n"/>
      <c r="J439" s="7" t="n"/>
      <c r="K439" s="7" t="n"/>
      <c r="M439" s="8" t="n"/>
      <c r="P439" s="9" t="n"/>
      <c r="Q439" s="10" t="n"/>
      <c r="R439" s="10" t="n"/>
      <c r="S439" s="11" t="n"/>
      <c r="U439" s="12">
        <f>IF(OR(H439="",I439=""),"",ROUND(Settings!$B$4/ABS(H439-I439),2))</f>
        <v/>
      </c>
      <c r="V439" s="13">
        <f>IF(M439="","",ROUND(M439*Settings!$B$4,2))</f>
        <v/>
      </c>
      <c r="W439" s="12">
        <f>IF(M439="","",SUM($M$2:M439))</f>
        <v/>
      </c>
      <c r="X439" s="12">
        <f>IF(M439="","",MAX(0,N(X438),W439))</f>
        <v/>
      </c>
      <c r="Y439" s="12">
        <f>IF(M439="","",X439-W439)</f>
        <v/>
      </c>
      <c r="Z439" s="12">
        <f>IF(M439="","",IF(M439&lt;0,N(Z438)+1,0))</f>
        <v/>
      </c>
    </row>
    <row r="440">
      <c r="H440" s="7" t="n"/>
      <c r="I440" s="7" t="n"/>
      <c r="J440" s="7" t="n"/>
      <c r="K440" s="7" t="n"/>
      <c r="M440" s="8" t="n"/>
      <c r="P440" s="9" t="n"/>
      <c r="Q440" s="10" t="n"/>
      <c r="R440" s="10" t="n"/>
      <c r="S440" s="11" t="n"/>
      <c r="U440" s="12">
        <f>IF(OR(H440="",I440=""),"",ROUND(Settings!$B$4/ABS(H440-I440),2))</f>
        <v/>
      </c>
      <c r="V440" s="13">
        <f>IF(M440="","",ROUND(M440*Settings!$B$4,2))</f>
        <v/>
      </c>
      <c r="W440" s="12">
        <f>IF(M440="","",SUM($M$2:M440))</f>
        <v/>
      </c>
      <c r="X440" s="12">
        <f>IF(M440="","",MAX(0,N(X439),W440))</f>
        <v/>
      </c>
      <c r="Y440" s="12">
        <f>IF(M440="","",X440-W440)</f>
        <v/>
      </c>
      <c r="Z440" s="12">
        <f>IF(M440="","",IF(M440&lt;0,N(Z439)+1,0))</f>
        <v/>
      </c>
    </row>
    <row r="441">
      <c r="H441" s="7" t="n"/>
      <c r="I441" s="7" t="n"/>
      <c r="J441" s="7" t="n"/>
      <c r="K441" s="7" t="n"/>
      <c r="M441" s="8" t="n"/>
      <c r="P441" s="9" t="n"/>
      <c r="Q441" s="10" t="n"/>
      <c r="R441" s="10" t="n"/>
      <c r="S441" s="11" t="n"/>
      <c r="U441" s="12">
        <f>IF(OR(H441="",I441=""),"",ROUND(Settings!$B$4/ABS(H441-I441),2))</f>
        <v/>
      </c>
      <c r="V441" s="13">
        <f>IF(M441="","",ROUND(M441*Settings!$B$4,2))</f>
        <v/>
      </c>
      <c r="W441" s="12">
        <f>IF(M441="","",SUM($M$2:M441))</f>
        <v/>
      </c>
      <c r="X441" s="12">
        <f>IF(M441="","",MAX(0,N(X440),W441))</f>
        <v/>
      </c>
      <c r="Y441" s="12">
        <f>IF(M441="","",X441-W441)</f>
        <v/>
      </c>
      <c r="Z441" s="12">
        <f>IF(M441="","",IF(M441&lt;0,N(Z440)+1,0))</f>
        <v/>
      </c>
    </row>
    <row r="442">
      <c r="H442" s="7" t="n"/>
      <c r="I442" s="7" t="n"/>
      <c r="J442" s="7" t="n"/>
      <c r="K442" s="7" t="n"/>
      <c r="M442" s="8" t="n"/>
      <c r="P442" s="9" t="n"/>
      <c r="Q442" s="10" t="n"/>
      <c r="R442" s="10" t="n"/>
      <c r="S442" s="11" t="n"/>
      <c r="U442" s="12">
        <f>IF(OR(H442="",I442=""),"",ROUND(Settings!$B$4/ABS(H442-I442),2))</f>
        <v/>
      </c>
      <c r="V442" s="13">
        <f>IF(M442="","",ROUND(M442*Settings!$B$4,2))</f>
        <v/>
      </c>
      <c r="W442" s="12">
        <f>IF(M442="","",SUM($M$2:M442))</f>
        <v/>
      </c>
      <c r="X442" s="12">
        <f>IF(M442="","",MAX(0,N(X441),W442))</f>
        <v/>
      </c>
      <c r="Y442" s="12">
        <f>IF(M442="","",X442-W442)</f>
        <v/>
      </c>
      <c r="Z442" s="12">
        <f>IF(M442="","",IF(M442&lt;0,N(Z441)+1,0))</f>
        <v/>
      </c>
    </row>
    <row r="443">
      <c r="H443" s="7" t="n"/>
      <c r="I443" s="7" t="n"/>
      <c r="J443" s="7" t="n"/>
      <c r="K443" s="7" t="n"/>
      <c r="M443" s="8" t="n"/>
      <c r="P443" s="9" t="n"/>
      <c r="Q443" s="10" t="n"/>
      <c r="R443" s="10" t="n"/>
      <c r="S443" s="11" t="n"/>
      <c r="U443" s="12">
        <f>IF(OR(H443="",I443=""),"",ROUND(Settings!$B$4/ABS(H443-I443),2))</f>
        <v/>
      </c>
      <c r="V443" s="13">
        <f>IF(M443="","",ROUND(M443*Settings!$B$4,2))</f>
        <v/>
      </c>
      <c r="W443" s="12">
        <f>IF(M443="","",SUM($M$2:M443))</f>
        <v/>
      </c>
      <c r="X443" s="12">
        <f>IF(M443="","",MAX(0,N(X442),W443))</f>
        <v/>
      </c>
      <c r="Y443" s="12">
        <f>IF(M443="","",X443-W443)</f>
        <v/>
      </c>
      <c r="Z443" s="12">
        <f>IF(M443="","",IF(M443&lt;0,N(Z442)+1,0))</f>
        <v/>
      </c>
    </row>
    <row r="444">
      <c r="H444" s="7" t="n"/>
      <c r="I444" s="7" t="n"/>
      <c r="J444" s="7" t="n"/>
      <c r="K444" s="7" t="n"/>
      <c r="M444" s="8" t="n"/>
      <c r="P444" s="9" t="n"/>
      <c r="Q444" s="10" t="n"/>
      <c r="R444" s="10" t="n"/>
      <c r="S444" s="11" t="n"/>
      <c r="U444" s="12">
        <f>IF(OR(H444="",I444=""),"",ROUND(Settings!$B$4/ABS(H444-I444),2))</f>
        <v/>
      </c>
      <c r="V444" s="13">
        <f>IF(M444="","",ROUND(M444*Settings!$B$4,2))</f>
        <v/>
      </c>
      <c r="W444" s="12">
        <f>IF(M444="","",SUM($M$2:M444))</f>
        <v/>
      </c>
      <c r="X444" s="12">
        <f>IF(M444="","",MAX(0,N(X443),W444))</f>
        <v/>
      </c>
      <c r="Y444" s="12">
        <f>IF(M444="","",X444-W444)</f>
        <v/>
      </c>
      <c r="Z444" s="12">
        <f>IF(M444="","",IF(M444&lt;0,N(Z443)+1,0))</f>
        <v/>
      </c>
    </row>
    <row r="445">
      <c r="H445" s="7" t="n"/>
      <c r="I445" s="7" t="n"/>
      <c r="J445" s="7" t="n"/>
      <c r="K445" s="7" t="n"/>
      <c r="M445" s="8" t="n"/>
      <c r="P445" s="9" t="n"/>
      <c r="Q445" s="10" t="n"/>
      <c r="R445" s="10" t="n"/>
      <c r="S445" s="11" t="n"/>
      <c r="U445" s="12">
        <f>IF(OR(H445="",I445=""),"",ROUND(Settings!$B$4/ABS(H445-I445),2))</f>
        <v/>
      </c>
      <c r="V445" s="13">
        <f>IF(M445="","",ROUND(M445*Settings!$B$4,2))</f>
        <v/>
      </c>
      <c r="W445" s="12">
        <f>IF(M445="","",SUM($M$2:M445))</f>
        <v/>
      </c>
      <c r="X445" s="12">
        <f>IF(M445="","",MAX(0,N(X444),W445))</f>
        <v/>
      </c>
      <c r="Y445" s="12">
        <f>IF(M445="","",X445-W445)</f>
        <v/>
      </c>
      <c r="Z445" s="12">
        <f>IF(M445="","",IF(M445&lt;0,N(Z444)+1,0))</f>
        <v/>
      </c>
    </row>
    <row r="446">
      <c r="H446" s="7" t="n"/>
      <c r="I446" s="7" t="n"/>
      <c r="J446" s="7" t="n"/>
      <c r="K446" s="7" t="n"/>
      <c r="M446" s="8" t="n"/>
      <c r="P446" s="9" t="n"/>
      <c r="Q446" s="10" t="n"/>
      <c r="R446" s="10" t="n"/>
      <c r="S446" s="11" t="n"/>
      <c r="U446" s="12">
        <f>IF(OR(H446="",I446=""),"",ROUND(Settings!$B$4/ABS(H446-I446),2))</f>
        <v/>
      </c>
      <c r="V446" s="13">
        <f>IF(M446="","",ROUND(M446*Settings!$B$4,2))</f>
        <v/>
      </c>
      <c r="W446" s="12">
        <f>IF(M446="","",SUM($M$2:M446))</f>
        <v/>
      </c>
      <c r="X446" s="12">
        <f>IF(M446="","",MAX(0,N(X445),W446))</f>
        <v/>
      </c>
      <c r="Y446" s="12">
        <f>IF(M446="","",X446-W446)</f>
        <v/>
      </c>
      <c r="Z446" s="12">
        <f>IF(M446="","",IF(M446&lt;0,N(Z445)+1,0))</f>
        <v/>
      </c>
    </row>
    <row r="447">
      <c r="H447" s="7" t="n"/>
      <c r="I447" s="7" t="n"/>
      <c r="J447" s="7" t="n"/>
      <c r="K447" s="7" t="n"/>
      <c r="M447" s="8" t="n"/>
      <c r="P447" s="9" t="n"/>
      <c r="Q447" s="10" t="n"/>
      <c r="R447" s="10" t="n"/>
      <c r="S447" s="11" t="n"/>
      <c r="U447" s="12">
        <f>IF(OR(H447="",I447=""),"",ROUND(Settings!$B$4/ABS(H447-I447),2))</f>
        <v/>
      </c>
      <c r="V447" s="13">
        <f>IF(M447="","",ROUND(M447*Settings!$B$4,2))</f>
        <v/>
      </c>
      <c r="W447" s="12">
        <f>IF(M447="","",SUM($M$2:M447))</f>
        <v/>
      </c>
      <c r="X447" s="12">
        <f>IF(M447="","",MAX(0,N(X446),W447))</f>
        <v/>
      </c>
      <c r="Y447" s="12">
        <f>IF(M447="","",X447-W447)</f>
        <v/>
      </c>
      <c r="Z447" s="12">
        <f>IF(M447="","",IF(M447&lt;0,N(Z446)+1,0))</f>
        <v/>
      </c>
    </row>
    <row r="448">
      <c r="H448" s="7" t="n"/>
      <c r="I448" s="7" t="n"/>
      <c r="J448" s="7" t="n"/>
      <c r="K448" s="7" t="n"/>
      <c r="M448" s="8" t="n"/>
      <c r="P448" s="9" t="n"/>
      <c r="Q448" s="10" t="n"/>
      <c r="R448" s="10" t="n"/>
      <c r="S448" s="11" t="n"/>
      <c r="U448" s="12">
        <f>IF(OR(H448="",I448=""),"",ROUND(Settings!$B$4/ABS(H448-I448),2))</f>
        <v/>
      </c>
      <c r="V448" s="13">
        <f>IF(M448="","",ROUND(M448*Settings!$B$4,2))</f>
        <v/>
      </c>
      <c r="W448" s="12">
        <f>IF(M448="","",SUM($M$2:M448))</f>
        <v/>
      </c>
      <c r="X448" s="12">
        <f>IF(M448="","",MAX(0,N(X447),W448))</f>
        <v/>
      </c>
      <c r="Y448" s="12">
        <f>IF(M448="","",X448-W448)</f>
        <v/>
      </c>
      <c r="Z448" s="12">
        <f>IF(M448="","",IF(M448&lt;0,N(Z447)+1,0))</f>
        <v/>
      </c>
    </row>
    <row r="449">
      <c r="H449" s="7" t="n"/>
      <c r="I449" s="7" t="n"/>
      <c r="J449" s="7" t="n"/>
      <c r="K449" s="7" t="n"/>
      <c r="M449" s="8" t="n"/>
      <c r="P449" s="9" t="n"/>
      <c r="Q449" s="10" t="n"/>
      <c r="R449" s="10" t="n"/>
      <c r="S449" s="11" t="n"/>
      <c r="U449" s="12">
        <f>IF(OR(H449="",I449=""),"",ROUND(Settings!$B$4/ABS(H449-I449),2))</f>
        <v/>
      </c>
      <c r="V449" s="13">
        <f>IF(M449="","",ROUND(M449*Settings!$B$4,2))</f>
        <v/>
      </c>
      <c r="W449" s="12">
        <f>IF(M449="","",SUM($M$2:M449))</f>
        <v/>
      </c>
      <c r="X449" s="12">
        <f>IF(M449="","",MAX(0,N(X448),W449))</f>
        <v/>
      </c>
      <c r="Y449" s="12">
        <f>IF(M449="","",X449-W449)</f>
        <v/>
      </c>
      <c r="Z449" s="12">
        <f>IF(M449="","",IF(M449&lt;0,N(Z448)+1,0))</f>
        <v/>
      </c>
    </row>
    <row r="450">
      <c r="H450" s="7" t="n"/>
      <c r="I450" s="7" t="n"/>
      <c r="J450" s="7" t="n"/>
      <c r="K450" s="7" t="n"/>
      <c r="M450" s="8" t="n"/>
      <c r="P450" s="9" t="n"/>
      <c r="Q450" s="10" t="n"/>
      <c r="R450" s="10" t="n"/>
      <c r="S450" s="11" t="n"/>
      <c r="U450" s="12">
        <f>IF(OR(H450="",I450=""),"",ROUND(Settings!$B$4/ABS(H450-I450),2))</f>
        <v/>
      </c>
      <c r="V450" s="13">
        <f>IF(M450="","",ROUND(M450*Settings!$B$4,2))</f>
        <v/>
      </c>
      <c r="W450" s="12">
        <f>IF(M450="","",SUM($M$2:M450))</f>
        <v/>
      </c>
      <c r="X450" s="12">
        <f>IF(M450="","",MAX(0,N(X449),W450))</f>
        <v/>
      </c>
      <c r="Y450" s="12">
        <f>IF(M450="","",X450-W450)</f>
        <v/>
      </c>
      <c r="Z450" s="12">
        <f>IF(M450="","",IF(M450&lt;0,N(Z449)+1,0))</f>
        <v/>
      </c>
    </row>
    <row r="451">
      <c r="H451" s="7" t="n"/>
      <c r="I451" s="7" t="n"/>
      <c r="J451" s="7" t="n"/>
      <c r="K451" s="7" t="n"/>
      <c r="M451" s="8" t="n"/>
      <c r="P451" s="9" t="n"/>
      <c r="Q451" s="10" t="n"/>
      <c r="R451" s="10" t="n"/>
      <c r="S451" s="11" t="n"/>
      <c r="U451" s="12">
        <f>IF(OR(H451="",I451=""),"",ROUND(Settings!$B$4/ABS(H451-I451),2))</f>
        <v/>
      </c>
      <c r="V451" s="13">
        <f>IF(M451="","",ROUND(M451*Settings!$B$4,2))</f>
        <v/>
      </c>
      <c r="W451" s="12">
        <f>IF(M451="","",SUM($M$2:M451))</f>
        <v/>
      </c>
      <c r="X451" s="12">
        <f>IF(M451="","",MAX(0,N(X450),W451))</f>
        <v/>
      </c>
      <c r="Y451" s="12">
        <f>IF(M451="","",X451-W451)</f>
        <v/>
      </c>
      <c r="Z451" s="12">
        <f>IF(M451="","",IF(M451&lt;0,N(Z450)+1,0))</f>
        <v/>
      </c>
    </row>
    <row r="452">
      <c r="H452" s="7" t="n"/>
      <c r="I452" s="7" t="n"/>
      <c r="J452" s="7" t="n"/>
      <c r="K452" s="7" t="n"/>
      <c r="M452" s="8" t="n"/>
      <c r="P452" s="9" t="n"/>
      <c r="Q452" s="10" t="n"/>
      <c r="R452" s="10" t="n"/>
      <c r="S452" s="11" t="n"/>
      <c r="U452" s="12">
        <f>IF(OR(H452="",I452=""),"",ROUND(Settings!$B$4/ABS(H452-I452),2))</f>
        <v/>
      </c>
      <c r="V452" s="13">
        <f>IF(M452="","",ROUND(M452*Settings!$B$4,2))</f>
        <v/>
      </c>
      <c r="W452" s="12">
        <f>IF(M452="","",SUM($M$2:M452))</f>
        <v/>
      </c>
      <c r="X452" s="12">
        <f>IF(M452="","",MAX(0,N(X451),W452))</f>
        <v/>
      </c>
      <c r="Y452" s="12">
        <f>IF(M452="","",X452-W452)</f>
        <v/>
      </c>
      <c r="Z452" s="12">
        <f>IF(M452="","",IF(M452&lt;0,N(Z451)+1,0))</f>
        <v/>
      </c>
    </row>
    <row r="453">
      <c r="H453" s="7" t="n"/>
      <c r="I453" s="7" t="n"/>
      <c r="J453" s="7" t="n"/>
      <c r="K453" s="7" t="n"/>
      <c r="M453" s="8" t="n"/>
      <c r="P453" s="9" t="n"/>
      <c r="Q453" s="10" t="n"/>
      <c r="R453" s="10" t="n"/>
      <c r="S453" s="11" t="n"/>
      <c r="U453" s="12">
        <f>IF(OR(H453="",I453=""),"",ROUND(Settings!$B$4/ABS(H453-I453),2))</f>
        <v/>
      </c>
      <c r="V453" s="13">
        <f>IF(M453="","",ROUND(M453*Settings!$B$4,2))</f>
        <v/>
      </c>
      <c r="W453" s="12">
        <f>IF(M453="","",SUM($M$2:M453))</f>
        <v/>
      </c>
      <c r="X453" s="12">
        <f>IF(M453="","",MAX(0,N(X452),W453))</f>
        <v/>
      </c>
      <c r="Y453" s="12">
        <f>IF(M453="","",X453-W453)</f>
        <v/>
      </c>
      <c r="Z453" s="12">
        <f>IF(M453="","",IF(M453&lt;0,N(Z452)+1,0))</f>
        <v/>
      </c>
    </row>
    <row r="454">
      <c r="H454" s="7" t="n"/>
      <c r="I454" s="7" t="n"/>
      <c r="J454" s="7" t="n"/>
      <c r="K454" s="7" t="n"/>
      <c r="M454" s="8" t="n"/>
      <c r="P454" s="9" t="n"/>
      <c r="Q454" s="10" t="n"/>
      <c r="R454" s="10" t="n"/>
      <c r="S454" s="11" t="n"/>
      <c r="U454" s="12">
        <f>IF(OR(H454="",I454=""),"",ROUND(Settings!$B$4/ABS(H454-I454),2))</f>
        <v/>
      </c>
      <c r="V454" s="13">
        <f>IF(M454="","",ROUND(M454*Settings!$B$4,2))</f>
        <v/>
      </c>
      <c r="W454" s="12">
        <f>IF(M454="","",SUM($M$2:M454))</f>
        <v/>
      </c>
      <c r="X454" s="12">
        <f>IF(M454="","",MAX(0,N(X453),W454))</f>
        <v/>
      </c>
      <c r="Y454" s="12">
        <f>IF(M454="","",X454-W454)</f>
        <v/>
      </c>
      <c r="Z454" s="12">
        <f>IF(M454="","",IF(M454&lt;0,N(Z453)+1,0))</f>
        <v/>
      </c>
    </row>
    <row r="455">
      <c r="H455" s="7" t="n"/>
      <c r="I455" s="7" t="n"/>
      <c r="J455" s="7" t="n"/>
      <c r="K455" s="7" t="n"/>
      <c r="M455" s="8" t="n"/>
      <c r="P455" s="9" t="n"/>
      <c r="Q455" s="10" t="n"/>
      <c r="R455" s="10" t="n"/>
      <c r="S455" s="11" t="n"/>
      <c r="U455" s="12">
        <f>IF(OR(H455="",I455=""),"",ROUND(Settings!$B$4/ABS(H455-I455),2))</f>
        <v/>
      </c>
      <c r="V455" s="13">
        <f>IF(M455="","",ROUND(M455*Settings!$B$4,2))</f>
        <v/>
      </c>
      <c r="W455" s="12">
        <f>IF(M455="","",SUM($M$2:M455))</f>
        <v/>
      </c>
      <c r="X455" s="12">
        <f>IF(M455="","",MAX(0,N(X454),W455))</f>
        <v/>
      </c>
      <c r="Y455" s="12">
        <f>IF(M455="","",X455-W455)</f>
        <v/>
      </c>
      <c r="Z455" s="12">
        <f>IF(M455="","",IF(M455&lt;0,N(Z454)+1,0))</f>
        <v/>
      </c>
    </row>
    <row r="456">
      <c r="H456" s="7" t="n"/>
      <c r="I456" s="7" t="n"/>
      <c r="J456" s="7" t="n"/>
      <c r="K456" s="7" t="n"/>
      <c r="M456" s="8" t="n"/>
      <c r="P456" s="9" t="n"/>
      <c r="Q456" s="10" t="n"/>
      <c r="R456" s="10" t="n"/>
      <c r="S456" s="11" t="n"/>
      <c r="U456" s="12">
        <f>IF(OR(H456="",I456=""),"",ROUND(Settings!$B$4/ABS(H456-I456),2))</f>
        <v/>
      </c>
      <c r="V456" s="13">
        <f>IF(M456="","",ROUND(M456*Settings!$B$4,2))</f>
        <v/>
      </c>
      <c r="W456" s="12">
        <f>IF(M456="","",SUM($M$2:M456))</f>
        <v/>
      </c>
      <c r="X456" s="12">
        <f>IF(M456="","",MAX(0,N(X455),W456))</f>
        <v/>
      </c>
      <c r="Y456" s="12">
        <f>IF(M456="","",X456-W456)</f>
        <v/>
      </c>
      <c r="Z456" s="12">
        <f>IF(M456="","",IF(M456&lt;0,N(Z455)+1,0))</f>
        <v/>
      </c>
    </row>
    <row r="457">
      <c r="H457" s="7" t="n"/>
      <c r="I457" s="7" t="n"/>
      <c r="J457" s="7" t="n"/>
      <c r="K457" s="7" t="n"/>
      <c r="M457" s="8" t="n"/>
      <c r="P457" s="9" t="n"/>
      <c r="Q457" s="10" t="n"/>
      <c r="R457" s="10" t="n"/>
      <c r="S457" s="11" t="n"/>
      <c r="U457" s="12">
        <f>IF(OR(H457="",I457=""),"",ROUND(Settings!$B$4/ABS(H457-I457),2))</f>
        <v/>
      </c>
      <c r="V457" s="13">
        <f>IF(M457="","",ROUND(M457*Settings!$B$4,2))</f>
        <v/>
      </c>
      <c r="W457" s="12">
        <f>IF(M457="","",SUM($M$2:M457))</f>
        <v/>
      </c>
      <c r="X457" s="12">
        <f>IF(M457="","",MAX(0,N(X456),W457))</f>
        <v/>
      </c>
      <c r="Y457" s="12">
        <f>IF(M457="","",X457-W457)</f>
        <v/>
      </c>
      <c r="Z457" s="12">
        <f>IF(M457="","",IF(M457&lt;0,N(Z456)+1,0))</f>
        <v/>
      </c>
    </row>
    <row r="458">
      <c r="H458" s="7" t="n"/>
      <c r="I458" s="7" t="n"/>
      <c r="J458" s="7" t="n"/>
      <c r="K458" s="7" t="n"/>
      <c r="M458" s="8" t="n"/>
      <c r="P458" s="9" t="n"/>
      <c r="Q458" s="10" t="n"/>
      <c r="R458" s="10" t="n"/>
      <c r="S458" s="11" t="n"/>
      <c r="U458" s="12">
        <f>IF(OR(H458="",I458=""),"",ROUND(Settings!$B$4/ABS(H458-I458),2))</f>
        <v/>
      </c>
      <c r="V458" s="13">
        <f>IF(M458="","",ROUND(M458*Settings!$B$4,2))</f>
        <v/>
      </c>
      <c r="W458" s="12">
        <f>IF(M458="","",SUM($M$2:M458))</f>
        <v/>
      </c>
      <c r="X458" s="12">
        <f>IF(M458="","",MAX(0,N(X457),W458))</f>
        <v/>
      </c>
      <c r="Y458" s="12">
        <f>IF(M458="","",X458-W458)</f>
        <v/>
      </c>
      <c r="Z458" s="12">
        <f>IF(M458="","",IF(M458&lt;0,N(Z457)+1,0))</f>
        <v/>
      </c>
    </row>
    <row r="459">
      <c r="H459" s="7" t="n"/>
      <c r="I459" s="7" t="n"/>
      <c r="J459" s="7" t="n"/>
      <c r="K459" s="7" t="n"/>
      <c r="M459" s="8" t="n"/>
      <c r="P459" s="9" t="n"/>
      <c r="Q459" s="10" t="n"/>
      <c r="R459" s="10" t="n"/>
      <c r="S459" s="11" t="n"/>
      <c r="U459" s="12">
        <f>IF(OR(H459="",I459=""),"",ROUND(Settings!$B$4/ABS(H459-I459),2))</f>
        <v/>
      </c>
      <c r="V459" s="13">
        <f>IF(M459="","",ROUND(M459*Settings!$B$4,2))</f>
        <v/>
      </c>
      <c r="W459" s="12">
        <f>IF(M459="","",SUM($M$2:M459))</f>
        <v/>
      </c>
      <c r="X459" s="12">
        <f>IF(M459="","",MAX(0,N(X458),W459))</f>
        <v/>
      </c>
      <c r="Y459" s="12">
        <f>IF(M459="","",X459-W459)</f>
        <v/>
      </c>
      <c r="Z459" s="12">
        <f>IF(M459="","",IF(M459&lt;0,N(Z458)+1,0))</f>
        <v/>
      </c>
    </row>
    <row r="460">
      <c r="H460" s="7" t="n"/>
      <c r="I460" s="7" t="n"/>
      <c r="J460" s="7" t="n"/>
      <c r="K460" s="7" t="n"/>
      <c r="M460" s="8" t="n"/>
      <c r="P460" s="9" t="n"/>
      <c r="Q460" s="10" t="n"/>
      <c r="R460" s="10" t="n"/>
      <c r="S460" s="11" t="n"/>
      <c r="U460" s="12">
        <f>IF(OR(H460="",I460=""),"",ROUND(Settings!$B$4/ABS(H460-I460),2))</f>
        <v/>
      </c>
      <c r="V460" s="13">
        <f>IF(M460="","",ROUND(M460*Settings!$B$4,2))</f>
        <v/>
      </c>
      <c r="W460" s="12">
        <f>IF(M460="","",SUM($M$2:M460))</f>
        <v/>
      </c>
      <c r="X460" s="12">
        <f>IF(M460="","",MAX(0,N(X459),W460))</f>
        <v/>
      </c>
      <c r="Y460" s="12">
        <f>IF(M460="","",X460-W460)</f>
        <v/>
      </c>
      <c r="Z460" s="12">
        <f>IF(M460="","",IF(M460&lt;0,N(Z459)+1,0))</f>
        <v/>
      </c>
    </row>
    <row r="461">
      <c r="H461" s="7" t="n"/>
      <c r="I461" s="7" t="n"/>
      <c r="J461" s="7" t="n"/>
      <c r="K461" s="7" t="n"/>
      <c r="M461" s="8" t="n"/>
      <c r="P461" s="9" t="n"/>
      <c r="Q461" s="10" t="n"/>
      <c r="R461" s="10" t="n"/>
      <c r="S461" s="11" t="n"/>
      <c r="U461" s="12">
        <f>IF(OR(H461="",I461=""),"",ROUND(Settings!$B$4/ABS(H461-I461),2))</f>
        <v/>
      </c>
      <c r="V461" s="13">
        <f>IF(M461="","",ROUND(M461*Settings!$B$4,2))</f>
        <v/>
      </c>
      <c r="W461" s="12">
        <f>IF(M461="","",SUM($M$2:M461))</f>
        <v/>
      </c>
      <c r="X461" s="12">
        <f>IF(M461="","",MAX(0,N(X460),W461))</f>
        <v/>
      </c>
      <c r="Y461" s="12">
        <f>IF(M461="","",X461-W461)</f>
        <v/>
      </c>
      <c r="Z461" s="12">
        <f>IF(M461="","",IF(M461&lt;0,N(Z460)+1,0))</f>
        <v/>
      </c>
    </row>
    <row r="462">
      <c r="H462" s="7" t="n"/>
      <c r="I462" s="7" t="n"/>
      <c r="J462" s="7" t="n"/>
      <c r="K462" s="7" t="n"/>
      <c r="M462" s="8" t="n"/>
      <c r="P462" s="9" t="n"/>
      <c r="Q462" s="10" t="n"/>
      <c r="R462" s="10" t="n"/>
      <c r="S462" s="11" t="n"/>
      <c r="U462" s="12">
        <f>IF(OR(H462="",I462=""),"",ROUND(Settings!$B$4/ABS(H462-I462),2))</f>
        <v/>
      </c>
      <c r="V462" s="13">
        <f>IF(M462="","",ROUND(M462*Settings!$B$4,2))</f>
        <v/>
      </c>
      <c r="W462" s="12">
        <f>IF(M462="","",SUM($M$2:M462))</f>
        <v/>
      </c>
      <c r="X462" s="12">
        <f>IF(M462="","",MAX(0,N(X461),W462))</f>
        <v/>
      </c>
      <c r="Y462" s="12">
        <f>IF(M462="","",X462-W462)</f>
        <v/>
      </c>
      <c r="Z462" s="12">
        <f>IF(M462="","",IF(M462&lt;0,N(Z461)+1,0))</f>
        <v/>
      </c>
    </row>
    <row r="463">
      <c r="H463" s="7" t="n"/>
      <c r="I463" s="7" t="n"/>
      <c r="J463" s="7" t="n"/>
      <c r="K463" s="7" t="n"/>
      <c r="M463" s="8" t="n"/>
      <c r="P463" s="9" t="n"/>
      <c r="Q463" s="10" t="n"/>
      <c r="R463" s="10" t="n"/>
      <c r="S463" s="11" t="n"/>
      <c r="U463" s="12">
        <f>IF(OR(H463="",I463=""),"",ROUND(Settings!$B$4/ABS(H463-I463),2))</f>
        <v/>
      </c>
      <c r="V463" s="13">
        <f>IF(M463="","",ROUND(M463*Settings!$B$4,2))</f>
        <v/>
      </c>
      <c r="W463" s="12">
        <f>IF(M463="","",SUM($M$2:M463))</f>
        <v/>
      </c>
      <c r="X463" s="12">
        <f>IF(M463="","",MAX(0,N(X462),W463))</f>
        <v/>
      </c>
      <c r="Y463" s="12">
        <f>IF(M463="","",X463-W463)</f>
        <v/>
      </c>
      <c r="Z463" s="12">
        <f>IF(M463="","",IF(M463&lt;0,N(Z462)+1,0))</f>
        <v/>
      </c>
    </row>
    <row r="464">
      <c r="H464" s="7" t="n"/>
      <c r="I464" s="7" t="n"/>
      <c r="J464" s="7" t="n"/>
      <c r="K464" s="7" t="n"/>
      <c r="M464" s="8" t="n"/>
      <c r="P464" s="9" t="n"/>
      <c r="Q464" s="10" t="n"/>
      <c r="R464" s="10" t="n"/>
      <c r="S464" s="11" t="n"/>
      <c r="U464" s="12">
        <f>IF(OR(H464="",I464=""),"",ROUND(Settings!$B$4/ABS(H464-I464),2))</f>
        <v/>
      </c>
      <c r="V464" s="13">
        <f>IF(M464="","",ROUND(M464*Settings!$B$4,2))</f>
        <v/>
      </c>
      <c r="W464" s="12">
        <f>IF(M464="","",SUM($M$2:M464))</f>
        <v/>
      </c>
      <c r="X464" s="12">
        <f>IF(M464="","",MAX(0,N(X463),W464))</f>
        <v/>
      </c>
      <c r="Y464" s="12">
        <f>IF(M464="","",X464-W464)</f>
        <v/>
      </c>
      <c r="Z464" s="12">
        <f>IF(M464="","",IF(M464&lt;0,N(Z463)+1,0))</f>
        <v/>
      </c>
    </row>
    <row r="465">
      <c r="H465" s="7" t="n"/>
      <c r="I465" s="7" t="n"/>
      <c r="J465" s="7" t="n"/>
      <c r="K465" s="7" t="n"/>
      <c r="M465" s="8" t="n"/>
      <c r="P465" s="9" t="n"/>
      <c r="Q465" s="10" t="n"/>
      <c r="R465" s="10" t="n"/>
      <c r="S465" s="11" t="n"/>
      <c r="U465" s="12">
        <f>IF(OR(H465="",I465=""),"",ROUND(Settings!$B$4/ABS(H465-I465),2))</f>
        <v/>
      </c>
      <c r="V465" s="13">
        <f>IF(M465="","",ROUND(M465*Settings!$B$4,2))</f>
        <v/>
      </c>
      <c r="W465" s="12">
        <f>IF(M465="","",SUM($M$2:M465))</f>
        <v/>
      </c>
      <c r="X465" s="12">
        <f>IF(M465="","",MAX(0,N(X464),W465))</f>
        <v/>
      </c>
      <c r="Y465" s="12">
        <f>IF(M465="","",X465-W465)</f>
        <v/>
      </c>
      <c r="Z465" s="12">
        <f>IF(M465="","",IF(M465&lt;0,N(Z464)+1,0))</f>
        <v/>
      </c>
    </row>
    <row r="466">
      <c r="H466" s="7" t="n"/>
      <c r="I466" s="7" t="n"/>
      <c r="J466" s="7" t="n"/>
      <c r="K466" s="7" t="n"/>
      <c r="M466" s="8" t="n"/>
      <c r="P466" s="9" t="n"/>
      <c r="Q466" s="10" t="n"/>
      <c r="R466" s="10" t="n"/>
      <c r="S466" s="11" t="n"/>
      <c r="U466" s="12">
        <f>IF(OR(H466="",I466=""),"",ROUND(Settings!$B$4/ABS(H466-I466),2))</f>
        <v/>
      </c>
      <c r="V466" s="13">
        <f>IF(M466="","",ROUND(M466*Settings!$B$4,2))</f>
        <v/>
      </c>
      <c r="W466" s="12">
        <f>IF(M466="","",SUM($M$2:M466))</f>
        <v/>
      </c>
      <c r="X466" s="12">
        <f>IF(M466="","",MAX(0,N(X465),W466))</f>
        <v/>
      </c>
      <c r="Y466" s="12">
        <f>IF(M466="","",X466-W466)</f>
        <v/>
      </c>
      <c r="Z466" s="12">
        <f>IF(M466="","",IF(M466&lt;0,N(Z465)+1,0))</f>
        <v/>
      </c>
    </row>
    <row r="467">
      <c r="H467" s="7" t="n"/>
      <c r="I467" s="7" t="n"/>
      <c r="J467" s="7" t="n"/>
      <c r="K467" s="7" t="n"/>
      <c r="M467" s="8" t="n"/>
      <c r="P467" s="9" t="n"/>
      <c r="Q467" s="10" t="n"/>
      <c r="R467" s="10" t="n"/>
      <c r="S467" s="11" t="n"/>
      <c r="U467" s="12">
        <f>IF(OR(H467="",I467=""),"",ROUND(Settings!$B$4/ABS(H467-I467),2))</f>
        <v/>
      </c>
      <c r="V467" s="13">
        <f>IF(M467="","",ROUND(M467*Settings!$B$4,2))</f>
        <v/>
      </c>
      <c r="W467" s="12">
        <f>IF(M467="","",SUM($M$2:M467))</f>
        <v/>
      </c>
      <c r="X467" s="12">
        <f>IF(M467="","",MAX(0,N(X466),W467))</f>
        <v/>
      </c>
      <c r="Y467" s="12">
        <f>IF(M467="","",X467-W467)</f>
        <v/>
      </c>
      <c r="Z467" s="12">
        <f>IF(M467="","",IF(M467&lt;0,N(Z466)+1,0))</f>
        <v/>
      </c>
    </row>
    <row r="468">
      <c r="H468" s="7" t="n"/>
      <c r="I468" s="7" t="n"/>
      <c r="J468" s="7" t="n"/>
      <c r="K468" s="7" t="n"/>
      <c r="M468" s="8" t="n"/>
      <c r="P468" s="9" t="n"/>
      <c r="Q468" s="10" t="n"/>
      <c r="R468" s="10" t="n"/>
      <c r="S468" s="11" t="n"/>
      <c r="U468" s="12">
        <f>IF(OR(H468="",I468=""),"",ROUND(Settings!$B$4/ABS(H468-I468),2))</f>
        <v/>
      </c>
      <c r="V468" s="13">
        <f>IF(M468="","",ROUND(M468*Settings!$B$4,2))</f>
        <v/>
      </c>
      <c r="W468" s="12">
        <f>IF(M468="","",SUM($M$2:M468))</f>
        <v/>
      </c>
      <c r="X468" s="12">
        <f>IF(M468="","",MAX(0,N(X467),W468))</f>
        <v/>
      </c>
      <c r="Y468" s="12">
        <f>IF(M468="","",X468-W468)</f>
        <v/>
      </c>
      <c r="Z468" s="12">
        <f>IF(M468="","",IF(M468&lt;0,N(Z467)+1,0))</f>
        <v/>
      </c>
    </row>
    <row r="469">
      <c r="H469" s="7" t="n"/>
      <c r="I469" s="7" t="n"/>
      <c r="J469" s="7" t="n"/>
      <c r="K469" s="7" t="n"/>
      <c r="M469" s="8" t="n"/>
      <c r="P469" s="9" t="n"/>
      <c r="Q469" s="10" t="n"/>
      <c r="R469" s="10" t="n"/>
      <c r="S469" s="11" t="n"/>
      <c r="U469" s="12">
        <f>IF(OR(H469="",I469=""),"",ROUND(Settings!$B$4/ABS(H469-I469),2))</f>
        <v/>
      </c>
      <c r="V469" s="13">
        <f>IF(M469="","",ROUND(M469*Settings!$B$4,2))</f>
        <v/>
      </c>
      <c r="W469" s="12">
        <f>IF(M469="","",SUM($M$2:M469))</f>
        <v/>
      </c>
      <c r="X469" s="12">
        <f>IF(M469="","",MAX(0,N(X468),W469))</f>
        <v/>
      </c>
      <c r="Y469" s="12">
        <f>IF(M469="","",X469-W469)</f>
        <v/>
      </c>
      <c r="Z469" s="12">
        <f>IF(M469="","",IF(M469&lt;0,N(Z468)+1,0))</f>
        <v/>
      </c>
    </row>
    <row r="470">
      <c r="H470" s="7" t="n"/>
      <c r="I470" s="7" t="n"/>
      <c r="J470" s="7" t="n"/>
      <c r="K470" s="7" t="n"/>
      <c r="M470" s="8" t="n"/>
      <c r="P470" s="9" t="n"/>
      <c r="Q470" s="10" t="n"/>
      <c r="R470" s="10" t="n"/>
      <c r="S470" s="11" t="n"/>
      <c r="U470" s="12">
        <f>IF(OR(H470="",I470=""),"",ROUND(Settings!$B$4/ABS(H470-I470),2))</f>
        <v/>
      </c>
      <c r="V470" s="13">
        <f>IF(M470="","",ROUND(M470*Settings!$B$4,2))</f>
        <v/>
      </c>
      <c r="W470" s="12">
        <f>IF(M470="","",SUM($M$2:M470))</f>
        <v/>
      </c>
      <c r="X470" s="12">
        <f>IF(M470="","",MAX(0,N(X469),W470))</f>
        <v/>
      </c>
      <c r="Y470" s="12">
        <f>IF(M470="","",X470-W470)</f>
        <v/>
      </c>
      <c r="Z470" s="12">
        <f>IF(M470="","",IF(M470&lt;0,N(Z469)+1,0))</f>
        <v/>
      </c>
    </row>
    <row r="471">
      <c r="H471" s="7" t="n"/>
      <c r="I471" s="7" t="n"/>
      <c r="J471" s="7" t="n"/>
      <c r="K471" s="7" t="n"/>
      <c r="M471" s="8" t="n"/>
      <c r="P471" s="9" t="n"/>
      <c r="Q471" s="10" t="n"/>
      <c r="R471" s="10" t="n"/>
      <c r="S471" s="11" t="n"/>
      <c r="U471" s="12">
        <f>IF(OR(H471="",I471=""),"",ROUND(Settings!$B$4/ABS(H471-I471),2))</f>
        <v/>
      </c>
      <c r="V471" s="13">
        <f>IF(M471="","",ROUND(M471*Settings!$B$4,2))</f>
        <v/>
      </c>
      <c r="W471" s="12">
        <f>IF(M471="","",SUM($M$2:M471))</f>
        <v/>
      </c>
      <c r="X471" s="12">
        <f>IF(M471="","",MAX(0,N(X470),W471))</f>
        <v/>
      </c>
      <c r="Y471" s="12">
        <f>IF(M471="","",X471-W471)</f>
        <v/>
      </c>
      <c r="Z471" s="12">
        <f>IF(M471="","",IF(M471&lt;0,N(Z470)+1,0))</f>
        <v/>
      </c>
    </row>
    <row r="472">
      <c r="H472" s="7" t="n"/>
      <c r="I472" s="7" t="n"/>
      <c r="J472" s="7" t="n"/>
      <c r="K472" s="7" t="n"/>
      <c r="M472" s="8" t="n"/>
      <c r="P472" s="9" t="n"/>
      <c r="Q472" s="10" t="n"/>
      <c r="R472" s="10" t="n"/>
      <c r="S472" s="11" t="n"/>
      <c r="U472" s="12">
        <f>IF(OR(H472="",I472=""),"",ROUND(Settings!$B$4/ABS(H472-I472),2))</f>
        <v/>
      </c>
      <c r="V472" s="13">
        <f>IF(M472="","",ROUND(M472*Settings!$B$4,2))</f>
        <v/>
      </c>
      <c r="W472" s="12">
        <f>IF(M472="","",SUM($M$2:M472))</f>
        <v/>
      </c>
      <c r="X472" s="12">
        <f>IF(M472="","",MAX(0,N(X471),W472))</f>
        <v/>
      </c>
      <c r="Y472" s="12">
        <f>IF(M472="","",X472-W472)</f>
        <v/>
      </c>
      <c r="Z472" s="12">
        <f>IF(M472="","",IF(M472&lt;0,N(Z471)+1,0))</f>
        <v/>
      </c>
    </row>
    <row r="473">
      <c r="H473" s="7" t="n"/>
      <c r="I473" s="7" t="n"/>
      <c r="J473" s="7" t="n"/>
      <c r="K473" s="7" t="n"/>
      <c r="M473" s="8" t="n"/>
      <c r="P473" s="9" t="n"/>
      <c r="Q473" s="10" t="n"/>
      <c r="R473" s="10" t="n"/>
      <c r="S473" s="11" t="n"/>
      <c r="U473" s="12">
        <f>IF(OR(H473="",I473=""),"",ROUND(Settings!$B$4/ABS(H473-I473),2))</f>
        <v/>
      </c>
      <c r="V473" s="13">
        <f>IF(M473="","",ROUND(M473*Settings!$B$4,2))</f>
        <v/>
      </c>
      <c r="W473" s="12">
        <f>IF(M473="","",SUM($M$2:M473))</f>
        <v/>
      </c>
      <c r="X473" s="12">
        <f>IF(M473="","",MAX(0,N(X472),W473))</f>
        <v/>
      </c>
      <c r="Y473" s="12">
        <f>IF(M473="","",X473-W473)</f>
        <v/>
      </c>
      <c r="Z473" s="12">
        <f>IF(M473="","",IF(M473&lt;0,N(Z472)+1,0))</f>
        <v/>
      </c>
    </row>
    <row r="474">
      <c r="H474" s="7" t="n"/>
      <c r="I474" s="7" t="n"/>
      <c r="J474" s="7" t="n"/>
      <c r="K474" s="7" t="n"/>
      <c r="M474" s="8" t="n"/>
      <c r="P474" s="9" t="n"/>
      <c r="Q474" s="10" t="n"/>
      <c r="R474" s="10" t="n"/>
      <c r="S474" s="11" t="n"/>
      <c r="U474" s="12">
        <f>IF(OR(H474="",I474=""),"",ROUND(Settings!$B$4/ABS(H474-I474),2))</f>
        <v/>
      </c>
      <c r="V474" s="13">
        <f>IF(M474="","",ROUND(M474*Settings!$B$4,2))</f>
        <v/>
      </c>
      <c r="W474" s="12">
        <f>IF(M474="","",SUM($M$2:M474))</f>
        <v/>
      </c>
      <c r="X474" s="12">
        <f>IF(M474="","",MAX(0,N(X473),W474))</f>
        <v/>
      </c>
      <c r="Y474" s="12">
        <f>IF(M474="","",X474-W474)</f>
        <v/>
      </c>
      <c r="Z474" s="12">
        <f>IF(M474="","",IF(M474&lt;0,N(Z473)+1,0))</f>
        <v/>
      </c>
    </row>
    <row r="475">
      <c r="H475" s="7" t="n"/>
      <c r="I475" s="7" t="n"/>
      <c r="J475" s="7" t="n"/>
      <c r="K475" s="7" t="n"/>
      <c r="M475" s="8" t="n"/>
      <c r="P475" s="9" t="n"/>
      <c r="Q475" s="10" t="n"/>
      <c r="R475" s="10" t="n"/>
      <c r="S475" s="11" t="n"/>
      <c r="U475" s="12">
        <f>IF(OR(H475="",I475=""),"",ROUND(Settings!$B$4/ABS(H475-I475),2))</f>
        <v/>
      </c>
      <c r="V475" s="13">
        <f>IF(M475="","",ROUND(M475*Settings!$B$4,2))</f>
        <v/>
      </c>
      <c r="W475" s="12">
        <f>IF(M475="","",SUM($M$2:M475))</f>
        <v/>
      </c>
      <c r="X475" s="12">
        <f>IF(M475="","",MAX(0,N(X474),W475))</f>
        <v/>
      </c>
      <c r="Y475" s="12">
        <f>IF(M475="","",X475-W475)</f>
        <v/>
      </c>
      <c r="Z475" s="12">
        <f>IF(M475="","",IF(M475&lt;0,N(Z474)+1,0))</f>
        <v/>
      </c>
    </row>
    <row r="476">
      <c r="H476" s="7" t="n"/>
      <c r="I476" s="7" t="n"/>
      <c r="J476" s="7" t="n"/>
      <c r="K476" s="7" t="n"/>
      <c r="M476" s="8" t="n"/>
      <c r="P476" s="9" t="n"/>
      <c r="Q476" s="10" t="n"/>
      <c r="R476" s="10" t="n"/>
      <c r="S476" s="11" t="n"/>
      <c r="U476" s="12">
        <f>IF(OR(H476="",I476=""),"",ROUND(Settings!$B$4/ABS(H476-I476),2))</f>
        <v/>
      </c>
      <c r="V476" s="13">
        <f>IF(M476="","",ROUND(M476*Settings!$B$4,2))</f>
        <v/>
      </c>
      <c r="W476" s="12">
        <f>IF(M476="","",SUM($M$2:M476))</f>
        <v/>
      </c>
      <c r="X476" s="12">
        <f>IF(M476="","",MAX(0,N(X475),W476))</f>
        <v/>
      </c>
      <c r="Y476" s="12">
        <f>IF(M476="","",X476-W476)</f>
        <v/>
      </c>
      <c r="Z476" s="12">
        <f>IF(M476="","",IF(M476&lt;0,N(Z475)+1,0))</f>
        <v/>
      </c>
    </row>
    <row r="477">
      <c r="H477" s="7" t="n"/>
      <c r="I477" s="7" t="n"/>
      <c r="J477" s="7" t="n"/>
      <c r="K477" s="7" t="n"/>
      <c r="M477" s="8" t="n"/>
      <c r="P477" s="9" t="n"/>
      <c r="Q477" s="10" t="n"/>
      <c r="R477" s="10" t="n"/>
      <c r="S477" s="11" t="n"/>
      <c r="U477" s="12">
        <f>IF(OR(H477="",I477=""),"",ROUND(Settings!$B$4/ABS(H477-I477),2))</f>
        <v/>
      </c>
      <c r="V477" s="13">
        <f>IF(M477="","",ROUND(M477*Settings!$B$4,2))</f>
        <v/>
      </c>
      <c r="W477" s="12">
        <f>IF(M477="","",SUM($M$2:M477))</f>
        <v/>
      </c>
      <c r="X477" s="12">
        <f>IF(M477="","",MAX(0,N(X476),W477))</f>
        <v/>
      </c>
      <c r="Y477" s="12">
        <f>IF(M477="","",X477-W477)</f>
        <v/>
      </c>
      <c r="Z477" s="12">
        <f>IF(M477="","",IF(M477&lt;0,N(Z476)+1,0))</f>
        <v/>
      </c>
    </row>
    <row r="478">
      <c r="H478" s="7" t="n"/>
      <c r="I478" s="7" t="n"/>
      <c r="J478" s="7" t="n"/>
      <c r="K478" s="7" t="n"/>
      <c r="M478" s="8" t="n"/>
      <c r="P478" s="9" t="n"/>
      <c r="Q478" s="10" t="n"/>
      <c r="R478" s="10" t="n"/>
      <c r="S478" s="11" t="n"/>
      <c r="U478" s="12">
        <f>IF(OR(H478="",I478=""),"",ROUND(Settings!$B$4/ABS(H478-I478),2))</f>
        <v/>
      </c>
      <c r="V478" s="13">
        <f>IF(M478="","",ROUND(M478*Settings!$B$4,2))</f>
        <v/>
      </c>
      <c r="W478" s="12">
        <f>IF(M478="","",SUM($M$2:M478))</f>
        <v/>
      </c>
      <c r="X478" s="12">
        <f>IF(M478="","",MAX(0,N(X477),W478))</f>
        <v/>
      </c>
      <c r="Y478" s="12">
        <f>IF(M478="","",X478-W478)</f>
        <v/>
      </c>
      <c r="Z478" s="12">
        <f>IF(M478="","",IF(M478&lt;0,N(Z477)+1,0))</f>
        <v/>
      </c>
    </row>
    <row r="479">
      <c r="H479" s="7" t="n"/>
      <c r="I479" s="7" t="n"/>
      <c r="J479" s="7" t="n"/>
      <c r="K479" s="7" t="n"/>
      <c r="M479" s="8" t="n"/>
      <c r="P479" s="9" t="n"/>
      <c r="Q479" s="10" t="n"/>
      <c r="R479" s="10" t="n"/>
      <c r="S479" s="11" t="n"/>
      <c r="U479" s="12">
        <f>IF(OR(H479="",I479=""),"",ROUND(Settings!$B$4/ABS(H479-I479),2))</f>
        <v/>
      </c>
      <c r="V479" s="13">
        <f>IF(M479="","",ROUND(M479*Settings!$B$4,2))</f>
        <v/>
      </c>
      <c r="W479" s="12">
        <f>IF(M479="","",SUM($M$2:M479))</f>
        <v/>
      </c>
      <c r="X479" s="12">
        <f>IF(M479="","",MAX(0,N(X478),W479))</f>
        <v/>
      </c>
      <c r="Y479" s="12">
        <f>IF(M479="","",X479-W479)</f>
        <v/>
      </c>
      <c r="Z479" s="12">
        <f>IF(M479="","",IF(M479&lt;0,N(Z478)+1,0))</f>
        <v/>
      </c>
    </row>
    <row r="480">
      <c r="H480" s="7" t="n"/>
      <c r="I480" s="7" t="n"/>
      <c r="J480" s="7" t="n"/>
      <c r="K480" s="7" t="n"/>
      <c r="M480" s="8" t="n"/>
      <c r="P480" s="9" t="n"/>
      <c r="Q480" s="10" t="n"/>
      <c r="R480" s="10" t="n"/>
      <c r="S480" s="11" t="n"/>
      <c r="U480" s="12">
        <f>IF(OR(H480="",I480=""),"",ROUND(Settings!$B$4/ABS(H480-I480),2))</f>
        <v/>
      </c>
      <c r="V480" s="13">
        <f>IF(M480="","",ROUND(M480*Settings!$B$4,2))</f>
        <v/>
      </c>
      <c r="W480" s="12">
        <f>IF(M480="","",SUM($M$2:M480))</f>
        <v/>
      </c>
      <c r="X480" s="12">
        <f>IF(M480="","",MAX(0,N(X479),W480))</f>
        <v/>
      </c>
      <c r="Y480" s="12">
        <f>IF(M480="","",X480-W480)</f>
        <v/>
      </c>
      <c r="Z480" s="12">
        <f>IF(M480="","",IF(M480&lt;0,N(Z479)+1,0))</f>
        <v/>
      </c>
    </row>
    <row r="481">
      <c r="H481" s="7" t="n"/>
      <c r="I481" s="7" t="n"/>
      <c r="J481" s="7" t="n"/>
      <c r="K481" s="7" t="n"/>
      <c r="M481" s="8" t="n"/>
      <c r="P481" s="9" t="n"/>
      <c r="Q481" s="10" t="n"/>
      <c r="R481" s="10" t="n"/>
      <c r="S481" s="11" t="n"/>
      <c r="U481" s="12">
        <f>IF(OR(H481="",I481=""),"",ROUND(Settings!$B$4/ABS(H481-I481),2))</f>
        <v/>
      </c>
      <c r="V481" s="13">
        <f>IF(M481="","",ROUND(M481*Settings!$B$4,2))</f>
        <v/>
      </c>
      <c r="W481" s="12">
        <f>IF(M481="","",SUM($M$2:M481))</f>
        <v/>
      </c>
      <c r="X481" s="12">
        <f>IF(M481="","",MAX(0,N(X480),W481))</f>
        <v/>
      </c>
      <c r="Y481" s="12">
        <f>IF(M481="","",X481-W481)</f>
        <v/>
      </c>
      <c r="Z481" s="12">
        <f>IF(M481="","",IF(M481&lt;0,N(Z480)+1,0))</f>
        <v/>
      </c>
    </row>
    <row r="482">
      <c r="H482" s="7" t="n"/>
      <c r="I482" s="7" t="n"/>
      <c r="J482" s="7" t="n"/>
      <c r="K482" s="7" t="n"/>
      <c r="M482" s="8" t="n"/>
      <c r="P482" s="9" t="n"/>
      <c r="Q482" s="10" t="n"/>
      <c r="R482" s="10" t="n"/>
      <c r="S482" s="11" t="n"/>
      <c r="U482" s="12">
        <f>IF(OR(H482="",I482=""),"",ROUND(Settings!$B$4/ABS(H482-I482),2))</f>
        <v/>
      </c>
      <c r="V482" s="13">
        <f>IF(M482="","",ROUND(M482*Settings!$B$4,2))</f>
        <v/>
      </c>
      <c r="W482" s="12">
        <f>IF(M482="","",SUM($M$2:M482))</f>
        <v/>
      </c>
      <c r="X482" s="12">
        <f>IF(M482="","",MAX(0,N(X481),W482))</f>
        <v/>
      </c>
      <c r="Y482" s="12">
        <f>IF(M482="","",X482-W482)</f>
        <v/>
      </c>
      <c r="Z482" s="12">
        <f>IF(M482="","",IF(M482&lt;0,N(Z481)+1,0))</f>
        <v/>
      </c>
    </row>
    <row r="483">
      <c r="H483" s="7" t="n"/>
      <c r="I483" s="7" t="n"/>
      <c r="J483" s="7" t="n"/>
      <c r="K483" s="7" t="n"/>
      <c r="M483" s="8" t="n"/>
      <c r="P483" s="9" t="n"/>
      <c r="Q483" s="10" t="n"/>
      <c r="R483" s="10" t="n"/>
      <c r="S483" s="11" t="n"/>
      <c r="U483" s="12">
        <f>IF(OR(H483="",I483=""),"",ROUND(Settings!$B$4/ABS(H483-I483),2))</f>
        <v/>
      </c>
      <c r="V483" s="13">
        <f>IF(M483="","",ROUND(M483*Settings!$B$4,2))</f>
        <v/>
      </c>
      <c r="W483" s="12">
        <f>IF(M483="","",SUM($M$2:M483))</f>
        <v/>
      </c>
      <c r="X483" s="12">
        <f>IF(M483="","",MAX(0,N(X482),W483))</f>
        <v/>
      </c>
      <c r="Y483" s="12">
        <f>IF(M483="","",X483-W483)</f>
        <v/>
      </c>
      <c r="Z483" s="12">
        <f>IF(M483="","",IF(M483&lt;0,N(Z482)+1,0))</f>
        <v/>
      </c>
    </row>
    <row r="484">
      <c r="H484" s="7" t="n"/>
      <c r="I484" s="7" t="n"/>
      <c r="J484" s="7" t="n"/>
      <c r="K484" s="7" t="n"/>
      <c r="M484" s="8" t="n"/>
      <c r="P484" s="9" t="n"/>
      <c r="Q484" s="10" t="n"/>
      <c r="R484" s="10" t="n"/>
      <c r="S484" s="11" t="n"/>
      <c r="U484" s="12">
        <f>IF(OR(H484="",I484=""),"",ROUND(Settings!$B$4/ABS(H484-I484),2))</f>
        <v/>
      </c>
      <c r="V484" s="13">
        <f>IF(M484="","",ROUND(M484*Settings!$B$4,2))</f>
        <v/>
      </c>
      <c r="W484" s="12">
        <f>IF(M484="","",SUM($M$2:M484))</f>
        <v/>
      </c>
      <c r="X484" s="12">
        <f>IF(M484="","",MAX(0,N(X483),W484))</f>
        <v/>
      </c>
      <c r="Y484" s="12">
        <f>IF(M484="","",X484-W484)</f>
        <v/>
      </c>
      <c r="Z484" s="12">
        <f>IF(M484="","",IF(M484&lt;0,N(Z483)+1,0))</f>
        <v/>
      </c>
    </row>
    <row r="485">
      <c r="H485" s="7" t="n"/>
      <c r="I485" s="7" t="n"/>
      <c r="J485" s="7" t="n"/>
      <c r="K485" s="7" t="n"/>
      <c r="M485" s="8" t="n"/>
      <c r="P485" s="9" t="n"/>
      <c r="Q485" s="10" t="n"/>
      <c r="R485" s="10" t="n"/>
      <c r="S485" s="11" t="n"/>
      <c r="U485" s="12">
        <f>IF(OR(H485="",I485=""),"",ROUND(Settings!$B$4/ABS(H485-I485),2))</f>
        <v/>
      </c>
      <c r="V485" s="13">
        <f>IF(M485="","",ROUND(M485*Settings!$B$4,2))</f>
        <v/>
      </c>
      <c r="W485" s="12">
        <f>IF(M485="","",SUM($M$2:M485))</f>
        <v/>
      </c>
      <c r="X485" s="12">
        <f>IF(M485="","",MAX(0,N(X484),W485))</f>
        <v/>
      </c>
      <c r="Y485" s="12">
        <f>IF(M485="","",X485-W485)</f>
        <v/>
      </c>
      <c r="Z485" s="12">
        <f>IF(M485="","",IF(M485&lt;0,N(Z484)+1,0))</f>
        <v/>
      </c>
    </row>
    <row r="486">
      <c r="H486" s="7" t="n"/>
      <c r="I486" s="7" t="n"/>
      <c r="J486" s="7" t="n"/>
      <c r="K486" s="7" t="n"/>
      <c r="M486" s="8" t="n"/>
      <c r="P486" s="9" t="n"/>
      <c r="Q486" s="10" t="n"/>
      <c r="R486" s="10" t="n"/>
      <c r="S486" s="11" t="n"/>
      <c r="U486" s="12">
        <f>IF(OR(H486="",I486=""),"",ROUND(Settings!$B$4/ABS(H486-I486),2))</f>
        <v/>
      </c>
      <c r="V486" s="13">
        <f>IF(M486="","",ROUND(M486*Settings!$B$4,2))</f>
        <v/>
      </c>
      <c r="W486" s="12">
        <f>IF(M486="","",SUM($M$2:M486))</f>
        <v/>
      </c>
      <c r="X486" s="12">
        <f>IF(M486="","",MAX(0,N(X485),W486))</f>
        <v/>
      </c>
      <c r="Y486" s="12">
        <f>IF(M486="","",X486-W486)</f>
        <v/>
      </c>
      <c r="Z486" s="12">
        <f>IF(M486="","",IF(M486&lt;0,N(Z485)+1,0))</f>
        <v/>
      </c>
    </row>
    <row r="487">
      <c r="H487" s="7" t="n"/>
      <c r="I487" s="7" t="n"/>
      <c r="J487" s="7" t="n"/>
      <c r="K487" s="7" t="n"/>
      <c r="M487" s="8" t="n"/>
      <c r="P487" s="9" t="n"/>
      <c r="Q487" s="10" t="n"/>
      <c r="R487" s="10" t="n"/>
      <c r="S487" s="11" t="n"/>
      <c r="U487" s="12">
        <f>IF(OR(H487="",I487=""),"",ROUND(Settings!$B$4/ABS(H487-I487),2))</f>
        <v/>
      </c>
      <c r="V487" s="13">
        <f>IF(M487="","",ROUND(M487*Settings!$B$4,2))</f>
        <v/>
      </c>
      <c r="W487" s="12">
        <f>IF(M487="","",SUM($M$2:M487))</f>
        <v/>
      </c>
      <c r="X487" s="12">
        <f>IF(M487="","",MAX(0,N(X486),W487))</f>
        <v/>
      </c>
      <c r="Y487" s="12">
        <f>IF(M487="","",X487-W487)</f>
        <v/>
      </c>
      <c r="Z487" s="12">
        <f>IF(M487="","",IF(M487&lt;0,N(Z486)+1,0))</f>
        <v/>
      </c>
    </row>
    <row r="488">
      <c r="H488" s="7" t="n"/>
      <c r="I488" s="7" t="n"/>
      <c r="J488" s="7" t="n"/>
      <c r="K488" s="7" t="n"/>
      <c r="M488" s="8" t="n"/>
      <c r="P488" s="9" t="n"/>
      <c r="Q488" s="10" t="n"/>
      <c r="R488" s="10" t="n"/>
      <c r="S488" s="11" t="n"/>
      <c r="U488" s="12">
        <f>IF(OR(H488="",I488=""),"",ROUND(Settings!$B$4/ABS(H488-I488),2))</f>
        <v/>
      </c>
      <c r="V488" s="13">
        <f>IF(M488="","",ROUND(M488*Settings!$B$4,2))</f>
        <v/>
      </c>
      <c r="W488" s="12">
        <f>IF(M488="","",SUM($M$2:M488))</f>
        <v/>
      </c>
      <c r="X488" s="12">
        <f>IF(M488="","",MAX(0,N(X487),W488))</f>
        <v/>
      </c>
      <c r="Y488" s="12">
        <f>IF(M488="","",X488-W488)</f>
        <v/>
      </c>
      <c r="Z488" s="12">
        <f>IF(M488="","",IF(M488&lt;0,N(Z487)+1,0))</f>
        <v/>
      </c>
    </row>
    <row r="489">
      <c r="H489" s="7" t="n"/>
      <c r="I489" s="7" t="n"/>
      <c r="J489" s="7" t="n"/>
      <c r="K489" s="7" t="n"/>
      <c r="M489" s="8" t="n"/>
      <c r="P489" s="9" t="n"/>
      <c r="Q489" s="10" t="n"/>
      <c r="R489" s="10" t="n"/>
      <c r="S489" s="11" t="n"/>
      <c r="U489" s="12">
        <f>IF(OR(H489="",I489=""),"",ROUND(Settings!$B$4/ABS(H489-I489),2))</f>
        <v/>
      </c>
      <c r="V489" s="13">
        <f>IF(M489="","",ROUND(M489*Settings!$B$4,2))</f>
        <v/>
      </c>
      <c r="W489" s="12">
        <f>IF(M489="","",SUM($M$2:M489))</f>
        <v/>
      </c>
      <c r="X489" s="12">
        <f>IF(M489="","",MAX(0,N(X488),W489))</f>
        <v/>
      </c>
      <c r="Y489" s="12">
        <f>IF(M489="","",X489-W489)</f>
        <v/>
      </c>
      <c r="Z489" s="12">
        <f>IF(M489="","",IF(M489&lt;0,N(Z488)+1,0))</f>
        <v/>
      </c>
    </row>
    <row r="490">
      <c r="H490" s="7" t="n"/>
      <c r="I490" s="7" t="n"/>
      <c r="J490" s="7" t="n"/>
      <c r="K490" s="7" t="n"/>
      <c r="M490" s="8" t="n"/>
      <c r="P490" s="9" t="n"/>
      <c r="Q490" s="10" t="n"/>
      <c r="R490" s="10" t="n"/>
      <c r="S490" s="11" t="n"/>
      <c r="U490" s="12">
        <f>IF(OR(H490="",I490=""),"",ROUND(Settings!$B$4/ABS(H490-I490),2))</f>
        <v/>
      </c>
      <c r="V490" s="13">
        <f>IF(M490="","",ROUND(M490*Settings!$B$4,2))</f>
        <v/>
      </c>
      <c r="W490" s="12">
        <f>IF(M490="","",SUM($M$2:M490))</f>
        <v/>
      </c>
      <c r="X490" s="12">
        <f>IF(M490="","",MAX(0,N(X489),W490))</f>
        <v/>
      </c>
      <c r="Y490" s="12">
        <f>IF(M490="","",X490-W490)</f>
        <v/>
      </c>
      <c r="Z490" s="12">
        <f>IF(M490="","",IF(M490&lt;0,N(Z489)+1,0))</f>
        <v/>
      </c>
    </row>
    <row r="491">
      <c r="H491" s="7" t="n"/>
      <c r="I491" s="7" t="n"/>
      <c r="J491" s="7" t="n"/>
      <c r="K491" s="7" t="n"/>
      <c r="M491" s="8" t="n"/>
      <c r="P491" s="9" t="n"/>
      <c r="Q491" s="10" t="n"/>
      <c r="R491" s="10" t="n"/>
      <c r="S491" s="11" t="n"/>
      <c r="U491" s="12">
        <f>IF(OR(H491="",I491=""),"",ROUND(Settings!$B$4/ABS(H491-I491),2))</f>
        <v/>
      </c>
      <c r="V491" s="13">
        <f>IF(M491="","",ROUND(M491*Settings!$B$4,2))</f>
        <v/>
      </c>
      <c r="W491" s="12">
        <f>IF(M491="","",SUM($M$2:M491))</f>
        <v/>
      </c>
      <c r="X491" s="12">
        <f>IF(M491="","",MAX(0,N(X490),W491))</f>
        <v/>
      </c>
      <c r="Y491" s="12">
        <f>IF(M491="","",X491-W491)</f>
        <v/>
      </c>
      <c r="Z491" s="12">
        <f>IF(M491="","",IF(M491&lt;0,N(Z490)+1,0))</f>
        <v/>
      </c>
    </row>
    <row r="492">
      <c r="H492" s="7" t="n"/>
      <c r="I492" s="7" t="n"/>
      <c r="J492" s="7" t="n"/>
      <c r="K492" s="7" t="n"/>
      <c r="M492" s="8" t="n"/>
      <c r="P492" s="9" t="n"/>
      <c r="Q492" s="10" t="n"/>
      <c r="R492" s="10" t="n"/>
      <c r="S492" s="11" t="n"/>
      <c r="U492" s="12">
        <f>IF(OR(H492="",I492=""),"",ROUND(Settings!$B$4/ABS(H492-I492),2))</f>
        <v/>
      </c>
      <c r="V492" s="13">
        <f>IF(M492="","",ROUND(M492*Settings!$B$4,2))</f>
        <v/>
      </c>
      <c r="W492" s="12">
        <f>IF(M492="","",SUM($M$2:M492))</f>
        <v/>
      </c>
      <c r="X492" s="12">
        <f>IF(M492="","",MAX(0,N(X491),W492))</f>
        <v/>
      </c>
      <c r="Y492" s="12">
        <f>IF(M492="","",X492-W492)</f>
        <v/>
      </c>
      <c r="Z492" s="12">
        <f>IF(M492="","",IF(M492&lt;0,N(Z491)+1,0))</f>
        <v/>
      </c>
    </row>
    <row r="493">
      <c r="H493" s="7" t="n"/>
      <c r="I493" s="7" t="n"/>
      <c r="J493" s="7" t="n"/>
      <c r="K493" s="7" t="n"/>
      <c r="M493" s="8" t="n"/>
      <c r="P493" s="9" t="n"/>
      <c r="Q493" s="10" t="n"/>
      <c r="R493" s="10" t="n"/>
      <c r="S493" s="11" t="n"/>
      <c r="U493" s="12">
        <f>IF(OR(H493="",I493=""),"",ROUND(Settings!$B$4/ABS(H493-I493),2))</f>
        <v/>
      </c>
      <c r="V493" s="13">
        <f>IF(M493="","",ROUND(M493*Settings!$B$4,2))</f>
        <v/>
      </c>
      <c r="W493" s="12">
        <f>IF(M493="","",SUM($M$2:M493))</f>
        <v/>
      </c>
      <c r="X493" s="12">
        <f>IF(M493="","",MAX(0,N(X492),W493))</f>
        <v/>
      </c>
      <c r="Y493" s="12">
        <f>IF(M493="","",X493-W493)</f>
        <v/>
      </c>
      <c r="Z493" s="12">
        <f>IF(M493="","",IF(M493&lt;0,N(Z492)+1,0))</f>
        <v/>
      </c>
    </row>
    <row r="494">
      <c r="H494" s="7" t="n"/>
      <c r="I494" s="7" t="n"/>
      <c r="J494" s="7" t="n"/>
      <c r="K494" s="7" t="n"/>
      <c r="M494" s="8" t="n"/>
      <c r="P494" s="9" t="n"/>
      <c r="Q494" s="10" t="n"/>
      <c r="R494" s="10" t="n"/>
      <c r="S494" s="11" t="n"/>
      <c r="U494" s="12">
        <f>IF(OR(H494="",I494=""),"",ROUND(Settings!$B$4/ABS(H494-I494),2))</f>
        <v/>
      </c>
      <c r="V494" s="13">
        <f>IF(M494="","",ROUND(M494*Settings!$B$4,2))</f>
        <v/>
      </c>
      <c r="W494" s="12">
        <f>IF(M494="","",SUM($M$2:M494))</f>
        <v/>
      </c>
      <c r="X494" s="12">
        <f>IF(M494="","",MAX(0,N(X493),W494))</f>
        <v/>
      </c>
      <c r="Y494" s="12">
        <f>IF(M494="","",X494-W494)</f>
        <v/>
      </c>
      <c r="Z494" s="12">
        <f>IF(M494="","",IF(M494&lt;0,N(Z493)+1,0))</f>
        <v/>
      </c>
    </row>
    <row r="495">
      <c r="H495" s="7" t="n"/>
      <c r="I495" s="7" t="n"/>
      <c r="J495" s="7" t="n"/>
      <c r="K495" s="7" t="n"/>
      <c r="M495" s="8" t="n"/>
      <c r="P495" s="9" t="n"/>
      <c r="Q495" s="10" t="n"/>
      <c r="R495" s="10" t="n"/>
      <c r="S495" s="11" t="n"/>
      <c r="U495" s="12">
        <f>IF(OR(H495="",I495=""),"",ROUND(Settings!$B$4/ABS(H495-I495),2))</f>
        <v/>
      </c>
      <c r="V495" s="13">
        <f>IF(M495="","",ROUND(M495*Settings!$B$4,2))</f>
        <v/>
      </c>
      <c r="W495" s="12">
        <f>IF(M495="","",SUM($M$2:M495))</f>
        <v/>
      </c>
      <c r="X495" s="12">
        <f>IF(M495="","",MAX(0,N(X494),W495))</f>
        <v/>
      </c>
      <c r="Y495" s="12">
        <f>IF(M495="","",X495-W495)</f>
        <v/>
      </c>
      <c r="Z495" s="12">
        <f>IF(M495="","",IF(M495&lt;0,N(Z494)+1,0))</f>
        <v/>
      </c>
    </row>
    <row r="496">
      <c r="H496" s="7" t="n"/>
      <c r="I496" s="7" t="n"/>
      <c r="J496" s="7" t="n"/>
      <c r="K496" s="7" t="n"/>
      <c r="M496" s="8" t="n"/>
      <c r="P496" s="9" t="n"/>
      <c r="Q496" s="10" t="n"/>
      <c r="R496" s="10" t="n"/>
      <c r="S496" s="11" t="n"/>
      <c r="U496" s="12">
        <f>IF(OR(H496="",I496=""),"",ROUND(Settings!$B$4/ABS(H496-I496),2))</f>
        <v/>
      </c>
      <c r="V496" s="13">
        <f>IF(M496="","",ROUND(M496*Settings!$B$4,2))</f>
        <v/>
      </c>
      <c r="W496" s="12">
        <f>IF(M496="","",SUM($M$2:M496))</f>
        <v/>
      </c>
      <c r="X496" s="12">
        <f>IF(M496="","",MAX(0,N(X495),W496))</f>
        <v/>
      </c>
      <c r="Y496" s="12">
        <f>IF(M496="","",X496-W496)</f>
        <v/>
      </c>
      <c r="Z496" s="12">
        <f>IF(M496="","",IF(M496&lt;0,N(Z495)+1,0))</f>
        <v/>
      </c>
    </row>
    <row r="497">
      <c r="H497" s="7" t="n"/>
      <c r="I497" s="7" t="n"/>
      <c r="J497" s="7" t="n"/>
      <c r="K497" s="7" t="n"/>
      <c r="M497" s="8" t="n"/>
      <c r="P497" s="9" t="n"/>
      <c r="Q497" s="10" t="n"/>
      <c r="R497" s="10" t="n"/>
      <c r="S497" s="11" t="n"/>
      <c r="U497" s="12">
        <f>IF(OR(H497="",I497=""),"",ROUND(Settings!$B$4/ABS(H497-I497),2))</f>
        <v/>
      </c>
      <c r="V497" s="13">
        <f>IF(M497="","",ROUND(M497*Settings!$B$4,2))</f>
        <v/>
      </c>
      <c r="W497" s="12">
        <f>IF(M497="","",SUM($M$2:M497))</f>
        <v/>
      </c>
      <c r="X497" s="12">
        <f>IF(M497="","",MAX(0,N(X496),W497))</f>
        <v/>
      </c>
      <c r="Y497" s="12">
        <f>IF(M497="","",X497-W497)</f>
        <v/>
      </c>
      <c r="Z497" s="12">
        <f>IF(M497="","",IF(M497&lt;0,N(Z496)+1,0))</f>
        <v/>
      </c>
    </row>
    <row r="498">
      <c r="H498" s="7" t="n"/>
      <c r="I498" s="7" t="n"/>
      <c r="J498" s="7" t="n"/>
      <c r="K498" s="7" t="n"/>
      <c r="M498" s="8" t="n"/>
      <c r="P498" s="9" t="n"/>
      <c r="Q498" s="10" t="n"/>
      <c r="R498" s="10" t="n"/>
      <c r="S498" s="11" t="n"/>
      <c r="U498" s="12">
        <f>IF(OR(H498="",I498=""),"",ROUND(Settings!$B$4/ABS(H498-I498),2))</f>
        <v/>
      </c>
      <c r="V498" s="13">
        <f>IF(M498="","",ROUND(M498*Settings!$B$4,2))</f>
        <v/>
      </c>
      <c r="W498" s="12">
        <f>IF(M498="","",SUM($M$2:M498))</f>
        <v/>
      </c>
      <c r="X498" s="12">
        <f>IF(M498="","",MAX(0,N(X497),W498))</f>
        <v/>
      </c>
      <c r="Y498" s="12">
        <f>IF(M498="","",X498-W498)</f>
        <v/>
      </c>
      <c r="Z498" s="12">
        <f>IF(M498="","",IF(M498&lt;0,N(Z497)+1,0))</f>
        <v/>
      </c>
    </row>
    <row r="499">
      <c r="H499" s="7" t="n"/>
      <c r="I499" s="7" t="n"/>
      <c r="J499" s="7" t="n"/>
      <c r="K499" s="7" t="n"/>
      <c r="M499" s="8" t="n"/>
      <c r="P499" s="9" t="n"/>
      <c r="Q499" s="10" t="n"/>
      <c r="R499" s="10" t="n"/>
      <c r="S499" s="11" t="n"/>
      <c r="U499" s="12">
        <f>IF(OR(H499="",I499=""),"",ROUND(Settings!$B$4/ABS(H499-I499),2))</f>
        <v/>
      </c>
      <c r="V499" s="13">
        <f>IF(M499="","",ROUND(M499*Settings!$B$4,2))</f>
        <v/>
      </c>
      <c r="W499" s="12">
        <f>IF(M499="","",SUM($M$2:M499))</f>
        <v/>
      </c>
      <c r="X499" s="12">
        <f>IF(M499="","",MAX(0,N(X498),W499))</f>
        <v/>
      </c>
      <c r="Y499" s="12">
        <f>IF(M499="","",X499-W499)</f>
        <v/>
      </c>
      <c r="Z499" s="12">
        <f>IF(M499="","",IF(M499&lt;0,N(Z498)+1,0))</f>
        <v/>
      </c>
    </row>
    <row r="500">
      <c r="H500" s="7" t="n"/>
      <c r="I500" s="7" t="n"/>
      <c r="J500" s="7" t="n"/>
      <c r="K500" s="7" t="n"/>
      <c r="M500" s="8" t="n"/>
      <c r="P500" s="9" t="n"/>
      <c r="Q500" s="10" t="n"/>
      <c r="R500" s="10" t="n"/>
      <c r="S500" s="11" t="n"/>
      <c r="U500" s="12">
        <f>IF(OR(H500="",I500=""),"",ROUND(Settings!$B$4/ABS(H500-I500),2))</f>
        <v/>
      </c>
      <c r="V500" s="13">
        <f>IF(M500="","",ROUND(M500*Settings!$B$4,2))</f>
        <v/>
      </c>
      <c r="W500" s="12">
        <f>IF(M500="","",SUM($M$2:M500))</f>
        <v/>
      </c>
      <c r="X500" s="12">
        <f>IF(M500="","",MAX(0,N(X499),W500))</f>
        <v/>
      </c>
      <c r="Y500" s="12">
        <f>IF(M500="","",X500-W500)</f>
        <v/>
      </c>
      <c r="Z500" s="12">
        <f>IF(M500="","",IF(M500&lt;0,N(Z499)+1,0))</f>
        <v/>
      </c>
    </row>
    <row r="501">
      <c r="H501" s="7" t="n"/>
      <c r="I501" s="7" t="n"/>
      <c r="J501" s="7" t="n"/>
      <c r="K501" s="7" t="n"/>
      <c r="M501" s="8" t="n"/>
      <c r="P501" s="9" t="n"/>
      <c r="Q501" s="10" t="n"/>
      <c r="R501" s="10" t="n"/>
      <c r="S501" s="11" t="n"/>
      <c r="U501" s="12">
        <f>IF(OR(H501="",I501=""),"",ROUND(Settings!$B$4/ABS(H501-I501),2))</f>
        <v/>
      </c>
      <c r="V501" s="13">
        <f>IF(M501="","",ROUND(M501*Settings!$B$4,2))</f>
        <v/>
      </c>
      <c r="W501" s="12">
        <f>IF(M501="","",SUM($M$2:M501))</f>
        <v/>
      </c>
      <c r="X501" s="12">
        <f>IF(M501="","",MAX(0,N(X500),W501))</f>
        <v/>
      </c>
      <c r="Y501" s="12">
        <f>IF(M501="","",X501-W501)</f>
        <v/>
      </c>
      <c r="Z501" s="12">
        <f>IF(M501="","",IF(M501&lt;0,N(Z500)+1,0))</f>
        <v/>
      </c>
    </row>
    <row r="502">
      <c r="H502" s="7" t="n"/>
      <c r="I502" s="7" t="n"/>
      <c r="J502" s="7" t="n"/>
      <c r="K502" s="7" t="n"/>
      <c r="M502" s="8" t="n"/>
      <c r="P502" s="9" t="n"/>
      <c r="Q502" s="10" t="n"/>
      <c r="R502" s="10" t="n"/>
      <c r="S502" s="11" t="n"/>
      <c r="U502" s="12">
        <f>IF(OR(H502="",I502=""),"",ROUND(Settings!$B$4/ABS(H502-I502),2))</f>
        <v/>
      </c>
      <c r="V502" s="13">
        <f>IF(M502="","",ROUND(M502*Settings!$B$4,2))</f>
        <v/>
      </c>
      <c r="W502" s="12">
        <f>IF(M502="","",SUM($M$2:M502))</f>
        <v/>
      </c>
      <c r="X502" s="12">
        <f>IF(M502="","",MAX(0,N(X501),W502))</f>
        <v/>
      </c>
      <c r="Y502" s="12">
        <f>IF(M502="","",X502-W502)</f>
        <v/>
      </c>
      <c r="Z502" s="12">
        <f>IF(M502="","",IF(M502&lt;0,N(Z501)+1,0))</f>
        <v/>
      </c>
    </row>
    <row r="503">
      <c r="H503" s="7" t="n"/>
      <c r="I503" s="7" t="n"/>
      <c r="J503" s="7" t="n"/>
      <c r="K503" s="7" t="n"/>
      <c r="M503" s="8" t="n"/>
      <c r="P503" s="9" t="n"/>
      <c r="Q503" s="10" t="n"/>
      <c r="R503" s="10" t="n"/>
      <c r="S503" s="11" t="n"/>
      <c r="U503" s="12">
        <f>IF(OR(H503="",I503=""),"",ROUND(Settings!$B$4/ABS(H503-I503),2))</f>
        <v/>
      </c>
      <c r="V503" s="13">
        <f>IF(M503="","",ROUND(M503*Settings!$B$4,2))</f>
        <v/>
      </c>
      <c r="W503" s="12">
        <f>IF(M503="","",SUM($M$2:M503))</f>
        <v/>
      </c>
      <c r="X503" s="12">
        <f>IF(M503="","",MAX(0,N(X502),W503))</f>
        <v/>
      </c>
      <c r="Y503" s="12">
        <f>IF(M503="","",X503-W503)</f>
        <v/>
      </c>
      <c r="Z503" s="12">
        <f>IF(M503="","",IF(M503&lt;0,N(Z502)+1,0))</f>
        <v/>
      </c>
    </row>
    <row r="504">
      <c r="H504" s="7" t="n"/>
      <c r="I504" s="7" t="n"/>
      <c r="J504" s="7" t="n"/>
      <c r="K504" s="7" t="n"/>
      <c r="M504" s="8" t="n"/>
      <c r="P504" s="9" t="n"/>
      <c r="Q504" s="10" t="n"/>
      <c r="R504" s="10" t="n"/>
      <c r="S504" s="11" t="n"/>
      <c r="U504" s="12">
        <f>IF(OR(H504="",I504=""),"",ROUND(Settings!$B$4/ABS(H504-I504),2))</f>
        <v/>
      </c>
      <c r="V504" s="13">
        <f>IF(M504="","",ROUND(M504*Settings!$B$4,2))</f>
        <v/>
      </c>
      <c r="W504" s="12">
        <f>IF(M504="","",SUM($M$2:M504))</f>
        <v/>
      </c>
      <c r="X504" s="12">
        <f>IF(M504="","",MAX(0,N(X503),W504))</f>
        <v/>
      </c>
      <c r="Y504" s="12">
        <f>IF(M504="","",X504-W504)</f>
        <v/>
      </c>
      <c r="Z504" s="12">
        <f>IF(M504="","",IF(M504&lt;0,N(Z503)+1,0))</f>
        <v/>
      </c>
    </row>
    <row r="505">
      <c r="H505" s="7" t="n"/>
      <c r="I505" s="7" t="n"/>
      <c r="J505" s="7" t="n"/>
      <c r="K505" s="7" t="n"/>
      <c r="M505" s="8" t="n"/>
      <c r="P505" s="9" t="n"/>
      <c r="Q505" s="10" t="n"/>
      <c r="R505" s="10" t="n"/>
      <c r="S505" s="11" t="n"/>
      <c r="U505" s="12">
        <f>IF(OR(H505="",I505=""),"",ROUND(Settings!$B$4/ABS(H505-I505),2))</f>
        <v/>
      </c>
      <c r="V505" s="13">
        <f>IF(M505="","",ROUND(M505*Settings!$B$4,2))</f>
        <v/>
      </c>
      <c r="W505" s="12">
        <f>IF(M505="","",SUM($M$2:M505))</f>
        <v/>
      </c>
      <c r="X505" s="12">
        <f>IF(M505="","",MAX(0,N(X504),W505))</f>
        <v/>
      </c>
      <c r="Y505" s="12">
        <f>IF(M505="","",X505-W505)</f>
        <v/>
      </c>
      <c r="Z505" s="12">
        <f>IF(M505="","",IF(M505&lt;0,N(Z504)+1,0))</f>
        <v/>
      </c>
    </row>
    <row r="506">
      <c r="H506" s="7" t="n"/>
      <c r="I506" s="7" t="n"/>
      <c r="J506" s="7" t="n"/>
      <c r="K506" s="7" t="n"/>
      <c r="M506" s="8" t="n"/>
      <c r="P506" s="9" t="n"/>
      <c r="Q506" s="10" t="n"/>
      <c r="R506" s="10" t="n"/>
      <c r="S506" s="11" t="n"/>
      <c r="U506" s="12">
        <f>IF(OR(H506="",I506=""),"",ROUND(Settings!$B$4/ABS(H506-I506),2))</f>
        <v/>
      </c>
      <c r="V506" s="13">
        <f>IF(M506="","",ROUND(M506*Settings!$B$4,2))</f>
        <v/>
      </c>
      <c r="W506" s="12">
        <f>IF(M506="","",SUM($M$2:M506))</f>
        <v/>
      </c>
      <c r="X506" s="12">
        <f>IF(M506="","",MAX(0,N(X505),W506))</f>
        <v/>
      </c>
      <c r="Y506" s="12">
        <f>IF(M506="","",X506-W506)</f>
        <v/>
      </c>
      <c r="Z506" s="12">
        <f>IF(M506="","",IF(M506&lt;0,N(Z505)+1,0))</f>
        <v/>
      </c>
    </row>
    <row r="507">
      <c r="H507" s="7" t="n"/>
      <c r="I507" s="7" t="n"/>
      <c r="J507" s="7" t="n"/>
      <c r="K507" s="7" t="n"/>
      <c r="M507" s="8" t="n"/>
      <c r="P507" s="9" t="n"/>
      <c r="Q507" s="10" t="n"/>
      <c r="R507" s="10" t="n"/>
      <c r="S507" s="11" t="n"/>
      <c r="U507" s="12">
        <f>IF(OR(H507="",I507=""),"",ROUND(Settings!$B$4/ABS(H507-I507),2))</f>
        <v/>
      </c>
      <c r="V507" s="13">
        <f>IF(M507="","",ROUND(M507*Settings!$B$4,2))</f>
        <v/>
      </c>
      <c r="W507" s="12">
        <f>IF(M507="","",SUM($M$2:M507))</f>
        <v/>
      </c>
      <c r="X507" s="12">
        <f>IF(M507="","",MAX(0,N(X506),W507))</f>
        <v/>
      </c>
      <c r="Y507" s="12">
        <f>IF(M507="","",X507-W507)</f>
        <v/>
      </c>
      <c r="Z507" s="12">
        <f>IF(M507="","",IF(M507&lt;0,N(Z506)+1,0))</f>
        <v/>
      </c>
    </row>
    <row r="508">
      <c r="H508" s="7" t="n"/>
      <c r="I508" s="7" t="n"/>
      <c r="J508" s="7" t="n"/>
      <c r="K508" s="7" t="n"/>
      <c r="M508" s="8" t="n"/>
      <c r="P508" s="9" t="n"/>
      <c r="Q508" s="10" t="n"/>
      <c r="R508" s="10" t="n"/>
      <c r="S508" s="11" t="n"/>
      <c r="U508" s="12">
        <f>IF(OR(H508="",I508=""),"",ROUND(Settings!$B$4/ABS(H508-I508),2))</f>
        <v/>
      </c>
      <c r="V508" s="13">
        <f>IF(M508="","",ROUND(M508*Settings!$B$4,2))</f>
        <v/>
      </c>
      <c r="W508" s="12">
        <f>IF(M508="","",SUM($M$2:M508))</f>
        <v/>
      </c>
      <c r="X508" s="12">
        <f>IF(M508="","",MAX(0,N(X507),W508))</f>
        <v/>
      </c>
      <c r="Y508" s="12">
        <f>IF(M508="","",X508-W508)</f>
        <v/>
      </c>
      <c r="Z508" s="12">
        <f>IF(M508="","",IF(M508&lt;0,N(Z507)+1,0))</f>
        <v/>
      </c>
    </row>
    <row r="509">
      <c r="H509" s="7" t="n"/>
      <c r="I509" s="7" t="n"/>
      <c r="J509" s="7" t="n"/>
      <c r="K509" s="7" t="n"/>
      <c r="M509" s="8" t="n"/>
      <c r="P509" s="9" t="n"/>
      <c r="Q509" s="10" t="n"/>
      <c r="R509" s="10" t="n"/>
      <c r="S509" s="11" t="n"/>
      <c r="U509" s="12">
        <f>IF(OR(H509="",I509=""),"",ROUND(Settings!$B$4/ABS(H509-I509),2))</f>
        <v/>
      </c>
      <c r="V509" s="13">
        <f>IF(M509="","",ROUND(M509*Settings!$B$4,2))</f>
        <v/>
      </c>
      <c r="W509" s="12">
        <f>IF(M509="","",SUM($M$2:M509))</f>
        <v/>
      </c>
      <c r="X509" s="12">
        <f>IF(M509="","",MAX(0,N(X508),W509))</f>
        <v/>
      </c>
      <c r="Y509" s="12">
        <f>IF(M509="","",X509-W509)</f>
        <v/>
      </c>
      <c r="Z509" s="12">
        <f>IF(M509="","",IF(M509&lt;0,N(Z508)+1,0))</f>
        <v/>
      </c>
    </row>
    <row r="510">
      <c r="H510" s="7" t="n"/>
      <c r="I510" s="7" t="n"/>
      <c r="J510" s="7" t="n"/>
      <c r="K510" s="7" t="n"/>
      <c r="M510" s="8" t="n"/>
      <c r="P510" s="9" t="n"/>
      <c r="Q510" s="10" t="n"/>
      <c r="R510" s="10" t="n"/>
      <c r="S510" s="11" t="n"/>
      <c r="U510" s="12">
        <f>IF(OR(H510="",I510=""),"",ROUND(Settings!$B$4/ABS(H510-I510),2))</f>
        <v/>
      </c>
      <c r="V510" s="13">
        <f>IF(M510="","",ROUND(M510*Settings!$B$4,2))</f>
        <v/>
      </c>
      <c r="W510" s="12">
        <f>IF(M510="","",SUM($M$2:M510))</f>
        <v/>
      </c>
      <c r="X510" s="12">
        <f>IF(M510="","",MAX(0,N(X509),W510))</f>
        <v/>
      </c>
      <c r="Y510" s="12">
        <f>IF(M510="","",X510-W510)</f>
        <v/>
      </c>
      <c r="Z510" s="12">
        <f>IF(M510="","",IF(M510&lt;0,N(Z509)+1,0))</f>
        <v/>
      </c>
    </row>
    <row r="511">
      <c r="H511" s="7" t="n"/>
      <c r="I511" s="7" t="n"/>
      <c r="J511" s="7" t="n"/>
      <c r="K511" s="7" t="n"/>
      <c r="M511" s="8" t="n"/>
      <c r="P511" s="9" t="n"/>
      <c r="Q511" s="10" t="n"/>
      <c r="R511" s="10" t="n"/>
      <c r="S511" s="11" t="n"/>
      <c r="U511" s="12">
        <f>IF(OR(H511="",I511=""),"",ROUND(Settings!$B$4/ABS(H511-I511),2))</f>
        <v/>
      </c>
      <c r="V511" s="13">
        <f>IF(M511="","",ROUND(M511*Settings!$B$4,2))</f>
        <v/>
      </c>
      <c r="W511" s="12">
        <f>IF(M511="","",SUM($M$2:M511))</f>
        <v/>
      </c>
      <c r="X511" s="12">
        <f>IF(M511="","",MAX(0,N(X510),W511))</f>
        <v/>
      </c>
      <c r="Y511" s="12">
        <f>IF(M511="","",X511-W511)</f>
        <v/>
      </c>
      <c r="Z511" s="12">
        <f>IF(M511="","",IF(M511&lt;0,N(Z510)+1,0))</f>
        <v/>
      </c>
    </row>
    <row r="512">
      <c r="H512" s="7" t="n"/>
      <c r="I512" s="7" t="n"/>
      <c r="J512" s="7" t="n"/>
      <c r="K512" s="7" t="n"/>
      <c r="M512" s="8" t="n"/>
      <c r="P512" s="9" t="n"/>
      <c r="Q512" s="10" t="n"/>
      <c r="R512" s="10" t="n"/>
      <c r="S512" s="11" t="n"/>
      <c r="U512" s="12">
        <f>IF(OR(H512="",I512=""),"",ROUND(Settings!$B$4/ABS(H512-I512),2))</f>
        <v/>
      </c>
      <c r="V512" s="13">
        <f>IF(M512="","",ROUND(M512*Settings!$B$4,2))</f>
        <v/>
      </c>
      <c r="W512" s="12">
        <f>IF(M512="","",SUM($M$2:M512))</f>
        <v/>
      </c>
      <c r="X512" s="12">
        <f>IF(M512="","",MAX(0,N(X511),W512))</f>
        <v/>
      </c>
      <c r="Y512" s="12">
        <f>IF(M512="","",X512-W512)</f>
        <v/>
      </c>
      <c r="Z512" s="12">
        <f>IF(M512="","",IF(M512&lt;0,N(Z511)+1,0))</f>
        <v/>
      </c>
    </row>
    <row r="513">
      <c r="H513" s="7" t="n"/>
      <c r="I513" s="7" t="n"/>
      <c r="J513" s="7" t="n"/>
      <c r="K513" s="7" t="n"/>
      <c r="M513" s="8" t="n"/>
      <c r="P513" s="9" t="n"/>
      <c r="Q513" s="10" t="n"/>
      <c r="R513" s="10" t="n"/>
      <c r="S513" s="11" t="n"/>
      <c r="U513" s="12">
        <f>IF(OR(H513="",I513=""),"",ROUND(Settings!$B$4/ABS(H513-I513),2))</f>
        <v/>
      </c>
      <c r="V513" s="13">
        <f>IF(M513="","",ROUND(M513*Settings!$B$4,2))</f>
        <v/>
      </c>
      <c r="W513" s="12">
        <f>IF(M513="","",SUM($M$2:M513))</f>
        <v/>
      </c>
      <c r="X513" s="12">
        <f>IF(M513="","",MAX(0,N(X512),W513))</f>
        <v/>
      </c>
      <c r="Y513" s="12">
        <f>IF(M513="","",X513-W513)</f>
        <v/>
      </c>
      <c r="Z513" s="12">
        <f>IF(M513="","",IF(M513&lt;0,N(Z512)+1,0))</f>
        <v/>
      </c>
    </row>
    <row r="514">
      <c r="H514" s="7" t="n"/>
      <c r="I514" s="7" t="n"/>
      <c r="J514" s="7" t="n"/>
      <c r="K514" s="7" t="n"/>
      <c r="M514" s="8" t="n"/>
      <c r="P514" s="9" t="n"/>
      <c r="Q514" s="10" t="n"/>
      <c r="R514" s="10" t="n"/>
      <c r="S514" s="11" t="n"/>
      <c r="U514" s="12">
        <f>IF(OR(H514="",I514=""),"",ROUND(Settings!$B$4/ABS(H514-I514),2))</f>
        <v/>
      </c>
      <c r="V514" s="13">
        <f>IF(M514="","",ROUND(M514*Settings!$B$4,2))</f>
        <v/>
      </c>
      <c r="W514" s="12">
        <f>IF(M514="","",SUM($M$2:M514))</f>
        <v/>
      </c>
      <c r="X514" s="12">
        <f>IF(M514="","",MAX(0,N(X513),W514))</f>
        <v/>
      </c>
      <c r="Y514" s="12">
        <f>IF(M514="","",X514-W514)</f>
        <v/>
      </c>
      <c r="Z514" s="12">
        <f>IF(M514="","",IF(M514&lt;0,N(Z513)+1,0))</f>
        <v/>
      </c>
    </row>
    <row r="515">
      <c r="H515" s="7" t="n"/>
      <c r="I515" s="7" t="n"/>
      <c r="J515" s="7" t="n"/>
      <c r="K515" s="7" t="n"/>
      <c r="M515" s="8" t="n"/>
      <c r="P515" s="9" t="n"/>
      <c r="Q515" s="10" t="n"/>
      <c r="R515" s="10" t="n"/>
      <c r="S515" s="11" t="n"/>
      <c r="U515" s="12">
        <f>IF(OR(H515="",I515=""),"",ROUND(Settings!$B$4/ABS(H515-I515),2))</f>
        <v/>
      </c>
      <c r="V515" s="13">
        <f>IF(M515="","",ROUND(M515*Settings!$B$4,2))</f>
        <v/>
      </c>
      <c r="W515" s="12">
        <f>IF(M515="","",SUM($M$2:M515))</f>
        <v/>
      </c>
      <c r="X515" s="12">
        <f>IF(M515="","",MAX(0,N(X514),W515))</f>
        <v/>
      </c>
      <c r="Y515" s="12">
        <f>IF(M515="","",X515-W515)</f>
        <v/>
      </c>
      <c r="Z515" s="12">
        <f>IF(M515="","",IF(M515&lt;0,N(Z514)+1,0))</f>
        <v/>
      </c>
    </row>
    <row r="516">
      <c r="H516" s="7" t="n"/>
      <c r="I516" s="7" t="n"/>
      <c r="J516" s="7" t="n"/>
      <c r="K516" s="7" t="n"/>
      <c r="M516" s="8" t="n"/>
      <c r="P516" s="9" t="n"/>
      <c r="Q516" s="10" t="n"/>
      <c r="R516" s="10" t="n"/>
      <c r="S516" s="11" t="n"/>
      <c r="U516" s="12">
        <f>IF(OR(H516="",I516=""),"",ROUND(Settings!$B$4/ABS(H516-I516),2))</f>
        <v/>
      </c>
      <c r="V516" s="13">
        <f>IF(M516="","",ROUND(M516*Settings!$B$4,2))</f>
        <v/>
      </c>
      <c r="W516" s="12">
        <f>IF(M516="","",SUM($M$2:M516))</f>
        <v/>
      </c>
      <c r="X516" s="12">
        <f>IF(M516="","",MAX(0,N(X515),W516))</f>
        <v/>
      </c>
      <c r="Y516" s="12">
        <f>IF(M516="","",X516-W516)</f>
        <v/>
      </c>
      <c r="Z516" s="12">
        <f>IF(M516="","",IF(M516&lt;0,N(Z515)+1,0))</f>
        <v/>
      </c>
    </row>
    <row r="517">
      <c r="H517" s="7" t="n"/>
      <c r="I517" s="7" t="n"/>
      <c r="J517" s="7" t="n"/>
      <c r="K517" s="7" t="n"/>
      <c r="M517" s="8" t="n"/>
      <c r="P517" s="9" t="n"/>
      <c r="Q517" s="10" t="n"/>
      <c r="R517" s="10" t="n"/>
      <c r="S517" s="11" t="n"/>
      <c r="U517" s="12">
        <f>IF(OR(H517="",I517=""),"",ROUND(Settings!$B$4/ABS(H517-I517),2))</f>
        <v/>
      </c>
      <c r="V517" s="13">
        <f>IF(M517="","",ROUND(M517*Settings!$B$4,2))</f>
        <v/>
      </c>
      <c r="W517" s="12">
        <f>IF(M517="","",SUM($M$2:M517))</f>
        <v/>
      </c>
      <c r="X517" s="12">
        <f>IF(M517="","",MAX(0,N(X516),W517))</f>
        <v/>
      </c>
      <c r="Y517" s="12">
        <f>IF(M517="","",X517-W517)</f>
        <v/>
      </c>
      <c r="Z517" s="12">
        <f>IF(M517="","",IF(M517&lt;0,N(Z516)+1,0))</f>
        <v/>
      </c>
    </row>
    <row r="518">
      <c r="H518" s="7" t="n"/>
      <c r="I518" s="7" t="n"/>
      <c r="J518" s="7" t="n"/>
      <c r="K518" s="7" t="n"/>
      <c r="M518" s="8" t="n"/>
      <c r="P518" s="9" t="n"/>
      <c r="Q518" s="10" t="n"/>
      <c r="R518" s="10" t="n"/>
      <c r="S518" s="11" t="n"/>
      <c r="U518" s="12">
        <f>IF(OR(H518="",I518=""),"",ROUND(Settings!$B$4/ABS(H518-I518),2))</f>
        <v/>
      </c>
      <c r="V518" s="13">
        <f>IF(M518="","",ROUND(M518*Settings!$B$4,2))</f>
        <v/>
      </c>
      <c r="W518" s="12">
        <f>IF(M518="","",SUM($M$2:M518))</f>
        <v/>
      </c>
      <c r="X518" s="12">
        <f>IF(M518="","",MAX(0,N(X517),W518))</f>
        <v/>
      </c>
      <c r="Y518" s="12">
        <f>IF(M518="","",X518-W518)</f>
        <v/>
      </c>
      <c r="Z518" s="12">
        <f>IF(M518="","",IF(M518&lt;0,N(Z517)+1,0))</f>
        <v/>
      </c>
    </row>
    <row r="519">
      <c r="H519" s="7" t="n"/>
      <c r="I519" s="7" t="n"/>
      <c r="J519" s="7" t="n"/>
      <c r="K519" s="7" t="n"/>
      <c r="M519" s="8" t="n"/>
      <c r="P519" s="9" t="n"/>
      <c r="Q519" s="10" t="n"/>
      <c r="R519" s="10" t="n"/>
      <c r="S519" s="11" t="n"/>
      <c r="U519" s="12">
        <f>IF(OR(H519="",I519=""),"",ROUND(Settings!$B$4/ABS(H519-I519),2))</f>
        <v/>
      </c>
      <c r="V519" s="13">
        <f>IF(M519="","",ROUND(M519*Settings!$B$4,2))</f>
        <v/>
      </c>
      <c r="W519" s="12">
        <f>IF(M519="","",SUM($M$2:M519))</f>
        <v/>
      </c>
      <c r="X519" s="12">
        <f>IF(M519="","",MAX(0,N(X518),W519))</f>
        <v/>
      </c>
      <c r="Y519" s="12">
        <f>IF(M519="","",X519-W519)</f>
        <v/>
      </c>
      <c r="Z519" s="12">
        <f>IF(M519="","",IF(M519&lt;0,N(Z518)+1,0))</f>
        <v/>
      </c>
    </row>
    <row r="520">
      <c r="H520" s="7" t="n"/>
      <c r="I520" s="7" t="n"/>
      <c r="J520" s="7" t="n"/>
      <c r="K520" s="7" t="n"/>
      <c r="M520" s="8" t="n"/>
      <c r="P520" s="9" t="n"/>
      <c r="Q520" s="10" t="n"/>
      <c r="R520" s="10" t="n"/>
      <c r="S520" s="11" t="n"/>
      <c r="U520" s="12">
        <f>IF(OR(H520="",I520=""),"",ROUND(Settings!$B$4/ABS(H520-I520),2))</f>
        <v/>
      </c>
      <c r="V520" s="13">
        <f>IF(M520="","",ROUND(M520*Settings!$B$4,2))</f>
        <v/>
      </c>
      <c r="W520" s="12">
        <f>IF(M520="","",SUM($M$2:M520))</f>
        <v/>
      </c>
      <c r="X520" s="12">
        <f>IF(M520="","",MAX(0,N(X519),W520))</f>
        <v/>
      </c>
      <c r="Y520" s="12">
        <f>IF(M520="","",X520-W520)</f>
        <v/>
      </c>
      <c r="Z520" s="12">
        <f>IF(M520="","",IF(M520&lt;0,N(Z519)+1,0))</f>
        <v/>
      </c>
    </row>
    <row r="521">
      <c r="H521" s="7" t="n"/>
      <c r="I521" s="7" t="n"/>
      <c r="J521" s="7" t="n"/>
      <c r="K521" s="7" t="n"/>
      <c r="M521" s="8" t="n"/>
      <c r="P521" s="9" t="n"/>
      <c r="Q521" s="10" t="n"/>
      <c r="R521" s="10" t="n"/>
      <c r="S521" s="11" t="n"/>
      <c r="U521" s="12">
        <f>IF(OR(H521="",I521=""),"",ROUND(Settings!$B$4/ABS(H521-I521),2))</f>
        <v/>
      </c>
      <c r="V521" s="13">
        <f>IF(M521="","",ROUND(M521*Settings!$B$4,2))</f>
        <v/>
      </c>
      <c r="W521" s="12">
        <f>IF(M521="","",SUM($M$2:M521))</f>
        <v/>
      </c>
      <c r="X521" s="12">
        <f>IF(M521="","",MAX(0,N(X520),W521))</f>
        <v/>
      </c>
      <c r="Y521" s="12">
        <f>IF(M521="","",X521-W521)</f>
        <v/>
      </c>
      <c r="Z521" s="12">
        <f>IF(M521="","",IF(M521&lt;0,N(Z520)+1,0))</f>
        <v/>
      </c>
    </row>
    <row r="522">
      <c r="H522" s="7" t="n"/>
      <c r="I522" s="7" t="n"/>
      <c r="J522" s="7" t="n"/>
      <c r="K522" s="7" t="n"/>
      <c r="M522" s="8" t="n"/>
      <c r="P522" s="9" t="n"/>
      <c r="Q522" s="10" t="n"/>
      <c r="R522" s="10" t="n"/>
      <c r="S522" s="11" t="n"/>
      <c r="U522" s="12">
        <f>IF(OR(H522="",I522=""),"",ROUND(Settings!$B$4/ABS(H522-I522),2))</f>
        <v/>
      </c>
      <c r="V522" s="13">
        <f>IF(M522="","",ROUND(M522*Settings!$B$4,2))</f>
        <v/>
      </c>
      <c r="W522" s="12">
        <f>IF(M522="","",SUM($M$2:M522))</f>
        <v/>
      </c>
      <c r="X522" s="12">
        <f>IF(M522="","",MAX(0,N(X521),W522))</f>
        <v/>
      </c>
      <c r="Y522" s="12">
        <f>IF(M522="","",X522-W522)</f>
        <v/>
      </c>
      <c r="Z522" s="12">
        <f>IF(M522="","",IF(M522&lt;0,N(Z521)+1,0))</f>
        <v/>
      </c>
    </row>
    <row r="523">
      <c r="H523" s="7" t="n"/>
      <c r="I523" s="7" t="n"/>
      <c r="J523" s="7" t="n"/>
      <c r="K523" s="7" t="n"/>
      <c r="M523" s="8" t="n"/>
      <c r="P523" s="9" t="n"/>
      <c r="Q523" s="10" t="n"/>
      <c r="R523" s="10" t="n"/>
      <c r="S523" s="11" t="n"/>
      <c r="U523" s="12">
        <f>IF(OR(H523="",I523=""),"",ROUND(Settings!$B$4/ABS(H523-I523),2))</f>
        <v/>
      </c>
      <c r="V523" s="13">
        <f>IF(M523="","",ROUND(M523*Settings!$B$4,2))</f>
        <v/>
      </c>
      <c r="W523" s="12">
        <f>IF(M523="","",SUM($M$2:M523))</f>
        <v/>
      </c>
      <c r="X523" s="12">
        <f>IF(M523="","",MAX(0,N(X522),W523))</f>
        <v/>
      </c>
      <c r="Y523" s="12">
        <f>IF(M523="","",X523-W523)</f>
        <v/>
      </c>
      <c r="Z523" s="12">
        <f>IF(M523="","",IF(M523&lt;0,N(Z522)+1,0))</f>
        <v/>
      </c>
    </row>
    <row r="524">
      <c r="H524" s="7" t="n"/>
      <c r="I524" s="7" t="n"/>
      <c r="J524" s="7" t="n"/>
      <c r="K524" s="7" t="n"/>
      <c r="M524" s="8" t="n"/>
      <c r="P524" s="9" t="n"/>
      <c r="Q524" s="10" t="n"/>
      <c r="R524" s="10" t="n"/>
      <c r="S524" s="11" t="n"/>
      <c r="U524" s="12">
        <f>IF(OR(H524="",I524=""),"",ROUND(Settings!$B$4/ABS(H524-I524),2))</f>
        <v/>
      </c>
      <c r="V524" s="13">
        <f>IF(M524="","",ROUND(M524*Settings!$B$4,2))</f>
        <v/>
      </c>
      <c r="W524" s="12">
        <f>IF(M524="","",SUM($M$2:M524))</f>
        <v/>
      </c>
      <c r="X524" s="12">
        <f>IF(M524="","",MAX(0,N(X523),W524))</f>
        <v/>
      </c>
      <c r="Y524" s="12">
        <f>IF(M524="","",X524-W524)</f>
        <v/>
      </c>
      <c r="Z524" s="12">
        <f>IF(M524="","",IF(M524&lt;0,N(Z523)+1,0))</f>
        <v/>
      </c>
    </row>
    <row r="525">
      <c r="H525" s="7" t="n"/>
      <c r="I525" s="7" t="n"/>
      <c r="J525" s="7" t="n"/>
      <c r="K525" s="7" t="n"/>
      <c r="M525" s="8" t="n"/>
      <c r="P525" s="9" t="n"/>
      <c r="Q525" s="10" t="n"/>
      <c r="R525" s="10" t="n"/>
      <c r="S525" s="11" t="n"/>
      <c r="U525" s="12">
        <f>IF(OR(H525="",I525=""),"",ROUND(Settings!$B$4/ABS(H525-I525),2))</f>
        <v/>
      </c>
      <c r="V525" s="13">
        <f>IF(M525="","",ROUND(M525*Settings!$B$4,2))</f>
        <v/>
      </c>
      <c r="W525" s="12">
        <f>IF(M525="","",SUM($M$2:M525))</f>
        <v/>
      </c>
      <c r="X525" s="12">
        <f>IF(M525="","",MAX(0,N(X524),W525))</f>
        <v/>
      </c>
      <c r="Y525" s="12">
        <f>IF(M525="","",X525-W525)</f>
        <v/>
      </c>
      <c r="Z525" s="12">
        <f>IF(M525="","",IF(M525&lt;0,N(Z524)+1,0))</f>
        <v/>
      </c>
    </row>
    <row r="526">
      <c r="H526" s="7" t="n"/>
      <c r="I526" s="7" t="n"/>
      <c r="J526" s="7" t="n"/>
      <c r="K526" s="7" t="n"/>
      <c r="M526" s="8" t="n"/>
      <c r="P526" s="9" t="n"/>
      <c r="Q526" s="10" t="n"/>
      <c r="R526" s="10" t="n"/>
      <c r="S526" s="11" t="n"/>
      <c r="U526" s="12">
        <f>IF(OR(H526="",I526=""),"",ROUND(Settings!$B$4/ABS(H526-I526),2))</f>
        <v/>
      </c>
      <c r="V526" s="13">
        <f>IF(M526="","",ROUND(M526*Settings!$B$4,2))</f>
        <v/>
      </c>
      <c r="W526" s="12">
        <f>IF(M526="","",SUM($M$2:M526))</f>
        <v/>
      </c>
      <c r="X526" s="12">
        <f>IF(M526="","",MAX(0,N(X525),W526))</f>
        <v/>
      </c>
      <c r="Y526" s="12">
        <f>IF(M526="","",X526-W526)</f>
        <v/>
      </c>
      <c r="Z526" s="12">
        <f>IF(M526="","",IF(M526&lt;0,N(Z525)+1,0))</f>
        <v/>
      </c>
    </row>
    <row r="527">
      <c r="H527" s="7" t="n"/>
      <c r="I527" s="7" t="n"/>
      <c r="J527" s="7" t="n"/>
      <c r="K527" s="7" t="n"/>
      <c r="M527" s="8" t="n"/>
      <c r="P527" s="9" t="n"/>
      <c r="Q527" s="10" t="n"/>
      <c r="R527" s="10" t="n"/>
      <c r="S527" s="11" t="n"/>
      <c r="U527" s="12">
        <f>IF(OR(H527="",I527=""),"",ROUND(Settings!$B$4/ABS(H527-I527),2))</f>
        <v/>
      </c>
      <c r="V527" s="13">
        <f>IF(M527="","",ROUND(M527*Settings!$B$4,2))</f>
        <v/>
      </c>
      <c r="W527" s="12">
        <f>IF(M527="","",SUM($M$2:M527))</f>
        <v/>
      </c>
      <c r="X527" s="12">
        <f>IF(M527="","",MAX(0,N(X526),W527))</f>
        <v/>
      </c>
      <c r="Y527" s="12">
        <f>IF(M527="","",X527-W527)</f>
        <v/>
      </c>
      <c r="Z527" s="12">
        <f>IF(M527="","",IF(M527&lt;0,N(Z526)+1,0))</f>
        <v/>
      </c>
    </row>
    <row r="528">
      <c r="H528" s="7" t="n"/>
      <c r="I528" s="7" t="n"/>
      <c r="J528" s="7" t="n"/>
      <c r="K528" s="7" t="n"/>
      <c r="M528" s="8" t="n"/>
      <c r="P528" s="9" t="n"/>
      <c r="Q528" s="10" t="n"/>
      <c r="R528" s="10" t="n"/>
      <c r="S528" s="11" t="n"/>
      <c r="U528" s="12">
        <f>IF(OR(H528="",I528=""),"",ROUND(Settings!$B$4/ABS(H528-I528),2))</f>
        <v/>
      </c>
      <c r="V528" s="13">
        <f>IF(M528="","",ROUND(M528*Settings!$B$4,2))</f>
        <v/>
      </c>
      <c r="W528" s="12">
        <f>IF(M528="","",SUM($M$2:M528))</f>
        <v/>
      </c>
      <c r="X528" s="12">
        <f>IF(M528="","",MAX(0,N(X527),W528))</f>
        <v/>
      </c>
      <c r="Y528" s="12">
        <f>IF(M528="","",X528-W528)</f>
        <v/>
      </c>
      <c r="Z528" s="12">
        <f>IF(M528="","",IF(M528&lt;0,N(Z527)+1,0))</f>
        <v/>
      </c>
    </row>
    <row r="529">
      <c r="H529" s="7" t="n"/>
      <c r="I529" s="7" t="n"/>
      <c r="J529" s="7" t="n"/>
      <c r="K529" s="7" t="n"/>
      <c r="M529" s="8" t="n"/>
      <c r="P529" s="9" t="n"/>
      <c r="Q529" s="10" t="n"/>
      <c r="R529" s="10" t="n"/>
      <c r="S529" s="11" t="n"/>
      <c r="U529" s="12">
        <f>IF(OR(H529="",I529=""),"",ROUND(Settings!$B$4/ABS(H529-I529),2))</f>
        <v/>
      </c>
      <c r="V529" s="13">
        <f>IF(M529="","",ROUND(M529*Settings!$B$4,2))</f>
        <v/>
      </c>
      <c r="W529" s="12">
        <f>IF(M529="","",SUM($M$2:M529))</f>
        <v/>
      </c>
      <c r="X529" s="12">
        <f>IF(M529="","",MAX(0,N(X528),W529))</f>
        <v/>
      </c>
      <c r="Y529" s="12">
        <f>IF(M529="","",X529-W529)</f>
        <v/>
      </c>
      <c r="Z529" s="12">
        <f>IF(M529="","",IF(M529&lt;0,N(Z528)+1,0))</f>
        <v/>
      </c>
    </row>
    <row r="530">
      <c r="H530" s="7" t="n"/>
      <c r="I530" s="7" t="n"/>
      <c r="J530" s="7" t="n"/>
      <c r="K530" s="7" t="n"/>
      <c r="M530" s="8" t="n"/>
      <c r="P530" s="9" t="n"/>
      <c r="Q530" s="10" t="n"/>
      <c r="R530" s="10" t="n"/>
      <c r="S530" s="11" t="n"/>
      <c r="U530" s="12">
        <f>IF(OR(H530="",I530=""),"",ROUND(Settings!$B$4/ABS(H530-I530),2))</f>
        <v/>
      </c>
      <c r="V530" s="13">
        <f>IF(M530="","",ROUND(M530*Settings!$B$4,2))</f>
        <v/>
      </c>
      <c r="W530" s="12">
        <f>IF(M530="","",SUM($M$2:M530))</f>
        <v/>
      </c>
      <c r="X530" s="12">
        <f>IF(M530="","",MAX(0,N(X529),W530))</f>
        <v/>
      </c>
      <c r="Y530" s="12">
        <f>IF(M530="","",X530-W530)</f>
        <v/>
      </c>
      <c r="Z530" s="12">
        <f>IF(M530="","",IF(M530&lt;0,N(Z529)+1,0))</f>
        <v/>
      </c>
    </row>
    <row r="531">
      <c r="H531" s="7" t="n"/>
      <c r="I531" s="7" t="n"/>
      <c r="J531" s="7" t="n"/>
      <c r="K531" s="7" t="n"/>
      <c r="M531" s="8" t="n"/>
      <c r="P531" s="9" t="n"/>
      <c r="Q531" s="10" t="n"/>
      <c r="R531" s="10" t="n"/>
      <c r="S531" s="11" t="n"/>
      <c r="U531" s="12">
        <f>IF(OR(H531="",I531=""),"",ROUND(Settings!$B$4/ABS(H531-I531),2))</f>
        <v/>
      </c>
      <c r="V531" s="13">
        <f>IF(M531="","",ROUND(M531*Settings!$B$4,2))</f>
        <v/>
      </c>
      <c r="W531" s="12">
        <f>IF(M531="","",SUM($M$2:M531))</f>
        <v/>
      </c>
      <c r="X531" s="12">
        <f>IF(M531="","",MAX(0,N(X530),W531))</f>
        <v/>
      </c>
      <c r="Y531" s="12">
        <f>IF(M531="","",X531-W531)</f>
        <v/>
      </c>
      <c r="Z531" s="12">
        <f>IF(M531="","",IF(M531&lt;0,N(Z530)+1,0))</f>
        <v/>
      </c>
    </row>
    <row r="532">
      <c r="H532" s="7" t="n"/>
      <c r="I532" s="7" t="n"/>
      <c r="J532" s="7" t="n"/>
      <c r="K532" s="7" t="n"/>
      <c r="M532" s="8" t="n"/>
      <c r="P532" s="9" t="n"/>
      <c r="Q532" s="10" t="n"/>
      <c r="R532" s="10" t="n"/>
      <c r="S532" s="11" t="n"/>
      <c r="U532" s="12">
        <f>IF(OR(H532="",I532=""),"",ROUND(Settings!$B$4/ABS(H532-I532),2))</f>
        <v/>
      </c>
      <c r="V532" s="13">
        <f>IF(M532="","",ROUND(M532*Settings!$B$4,2))</f>
        <v/>
      </c>
      <c r="W532" s="12">
        <f>IF(M532="","",SUM($M$2:M532))</f>
        <v/>
      </c>
      <c r="X532" s="12">
        <f>IF(M532="","",MAX(0,N(X531),W532))</f>
        <v/>
      </c>
      <c r="Y532" s="12">
        <f>IF(M532="","",X532-W532)</f>
        <v/>
      </c>
      <c r="Z532" s="12">
        <f>IF(M532="","",IF(M532&lt;0,N(Z531)+1,0))</f>
        <v/>
      </c>
    </row>
    <row r="533">
      <c r="H533" s="7" t="n"/>
      <c r="I533" s="7" t="n"/>
      <c r="J533" s="7" t="n"/>
      <c r="K533" s="7" t="n"/>
      <c r="M533" s="8" t="n"/>
      <c r="P533" s="9" t="n"/>
      <c r="Q533" s="10" t="n"/>
      <c r="R533" s="10" t="n"/>
      <c r="S533" s="11" t="n"/>
      <c r="U533" s="12">
        <f>IF(OR(H533="",I533=""),"",ROUND(Settings!$B$4/ABS(H533-I533),2))</f>
        <v/>
      </c>
      <c r="V533" s="13">
        <f>IF(M533="","",ROUND(M533*Settings!$B$4,2))</f>
        <v/>
      </c>
      <c r="W533" s="12">
        <f>IF(M533="","",SUM($M$2:M533))</f>
        <v/>
      </c>
      <c r="X533" s="12">
        <f>IF(M533="","",MAX(0,N(X532),W533))</f>
        <v/>
      </c>
      <c r="Y533" s="12">
        <f>IF(M533="","",X533-W533)</f>
        <v/>
      </c>
      <c r="Z533" s="12">
        <f>IF(M533="","",IF(M533&lt;0,N(Z532)+1,0))</f>
        <v/>
      </c>
    </row>
    <row r="534">
      <c r="H534" s="7" t="n"/>
      <c r="I534" s="7" t="n"/>
      <c r="J534" s="7" t="n"/>
      <c r="K534" s="7" t="n"/>
      <c r="M534" s="8" t="n"/>
      <c r="P534" s="9" t="n"/>
      <c r="Q534" s="10" t="n"/>
      <c r="R534" s="10" t="n"/>
      <c r="S534" s="11" t="n"/>
      <c r="U534" s="12">
        <f>IF(OR(H534="",I534=""),"",ROUND(Settings!$B$4/ABS(H534-I534),2))</f>
        <v/>
      </c>
      <c r="V534" s="13">
        <f>IF(M534="","",ROUND(M534*Settings!$B$4,2))</f>
        <v/>
      </c>
      <c r="W534" s="12">
        <f>IF(M534="","",SUM($M$2:M534))</f>
        <v/>
      </c>
      <c r="X534" s="12">
        <f>IF(M534="","",MAX(0,N(X533),W534))</f>
        <v/>
      </c>
      <c r="Y534" s="12">
        <f>IF(M534="","",X534-W534)</f>
        <v/>
      </c>
      <c r="Z534" s="12">
        <f>IF(M534="","",IF(M534&lt;0,N(Z533)+1,0))</f>
        <v/>
      </c>
    </row>
    <row r="535">
      <c r="H535" s="7" t="n"/>
      <c r="I535" s="7" t="n"/>
      <c r="J535" s="7" t="n"/>
      <c r="K535" s="7" t="n"/>
      <c r="M535" s="8" t="n"/>
      <c r="P535" s="9" t="n"/>
      <c r="Q535" s="10" t="n"/>
      <c r="R535" s="10" t="n"/>
      <c r="S535" s="11" t="n"/>
      <c r="U535" s="12">
        <f>IF(OR(H535="",I535=""),"",ROUND(Settings!$B$4/ABS(H535-I535),2))</f>
        <v/>
      </c>
      <c r="V535" s="13">
        <f>IF(M535="","",ROUND(M535*Settings!$B$4,2))</f>
        <v/>
      </c>
      <c r="W535" s="12">
        <f>IF(M535="","",SUM($M$2:M535))</f>
        <v/>
      </c>
      <c r="X535" s="12">
        <f>IF(M535="","",MAX(0,N(X534),W535))</f>
        <v/>
      </c>
      <c r="Y535" s="12">
        <f>IF(M535="","",X535-W535)</f>
        <v/>
      </c>
      <c r="Z535" s="12">
        <f>IF(M535="","",IF(M535&lt;0,N(Z534)+1,0))</f>
        <v/>
      </c>
    </row>
    <row r="536">
      <c r="H536" s="7" t="n"/>
      <c r="I536" s="7" t="n"/>
      <c r="J536" s="7" t="n"/>
      <c r="K536" s="7" t="n"/>
      <c r="M536" s="8" t="n"/>
      <c r="P536" s="9" t="n"/>
      <c r="Q536" s="10" t="n"/>
      <c r="R536" s="10" t="n"/>
      <c r="S536" s="11" t="n"/>
      <c r="U536" s="12">
        <f>IF(OR(H536="",I536=""),"",ROUND(Settings!$B$4/ABS(H536-I536),2))</f>
        <v/>
      </c>
      <c r="V536" s="13">
        <f>IF(M536="","",ROUND(M536*Settings!$B$4,2))</f>
        <v/>
      </c>
      <c r="W536" s="12">
        <f>IF(M536="","",SUM($M$2:M536))</f>
        <v/>
      </c>
      <c r="X536" s="12">
        <f>IF(M536="","",MAX(0,N(X535),W536))</f>
        <v/>
      </c>
      <c r="Y536" s="12">
        <f>IF(M536="","",X536-W536)</f>
        <v/>
      </c>
      <c r="Z536" s="12">
        <f>IF(M536="","",IF(M536&lt;0,N(Z535)+1,0))</f>
        <v/>
      </c>
    </row>
    <row r="537">
      <c r="H537" s="7" t="n"/>
      <c r="I537" s="7" t="n"/>
      <c r="J537" s="7" t="n"/>
      <c r="K537" s="7" t="n"/>
      <c r="M537" s="8" t="n"/>
      <c r="P537" s="9" t="n"/>
      <c r="Q537" s="10" t="n"/>
      <c r="R537" s="10" t="n"/>
      <c r="S537" s="11" t="n"/>
      <c r="U537" s="12">
        <f>IF(OR(H537="",I537=""),"",ROUND(Settings!$B$4/ABS(H537-I537),2))</f>
        <v/>
      </c>
      <c r="V537" s="13">
        <f>IF(M537="","",ROUND(M537*Settings!$B$4,2))</f>
        <v/>
      </c>
      <c r="W537" s="12">
        <f>IF(M537="","",SUM($M$2:M537))</f>
        <v/>
      </c>
      <c r="X537" s="12">
        <f>IF(M537="","",MAX(0,N(X536),W537))</f>
        <v/>
      </c>
      <c r="Y537" s="12">
        <f>IF(M537="","",X537-W537)</f>
        <v/>
      </c>
      <c r="Z537" s="12">
        <f>IF(M537="","",IF(M537&lt;0,N(Z536)+1,0))</f>
        <v/>
      </c>
    </row>
    <row r="538">
      <c r="H538" s="7" t="n"/>
      <c r="I538" s="7" t="n"/>
      <c r="J538" s="7" t="n"/>
      <c r="K538" s="7" t="n"/>
      <c r="M538" s="8" t="n"/>
      <c r="P538" s="9" t="n"/>
      <c r="Q538" s="10" t="n"/>
      <c r="R538" s="10" t="n"/>
      <c r="S538" s="11" t="n"/>
      <c r="U538" s="12">
        <f>IF(OR(H538="",I538=""),"",ROUND(Settings!$B$4/ABS(H538-I538),2))</f>
        <v/>
      </c>
      <c r="V538" s="13">
        <f>IF(M538="","",ROUND(M538*Settings!$B$4,2))</f>
        <v/>
      </c>
      <c r="W538" s="12">
        <f>IF(M538="","",SUM($M$2:M538))</f>
        <v/>
      </c>
      <c r="X538" s="12">
        <f>IF(M538="","",MAX(0,N(X537),W538))</f>
        <v/>
      </c>
      <c r="Y538" s="12">
        <f>IF(M538="","",X538-W538)</f>
        <v/>
      </c>
      <c r="Z538" s="12">
        <f>IF(M538="","",IF(M538&lt;0,N(Z537)+1,0))</f>
        <v/>
      </c>
    </row>
    <row r="539">
      <c r="H539" s="7" t="n"/>
      <c r="I539" s="7" t="n"/>
      <c r="J539" s="7" t="n"/>
      <c r="K539" s="7" t="n"/>
      <c r="M539" s="8" t="n"/>
      <c r="P539" s="9" t="n"/>
      <c r="Q539" s="10" t="n"/>
      <c r="R539" s="10" t="n"/>
      <c r="S539" s="11" t="n"/>
      <c r="U539" s="12">
        <f>IF(OR(H539="",I539=""),"",ROUND(Settings!$B$4/ABS(H539-I539),2))</f>
        <v/>
      </c>
      <c r="V539" s="13">
        <f>IF(M539="","",ROUND(M539*Settings!$B$4,2))</f>
        <v/>
      </c>
      <c r="W539" s="12">
        <f>IF(M539="","",SUM($M$2:M539))</f>
        <v/>
      </c>
      <c r="X539" s="12">
        <f>IF(M539="","",MAX(0,N(X538),W539))</f>
        <v/>
      </c>
      <c r="Y539" s="12">
        <f>IF(M539="","",X539-W539)</f>
        <v/>
      </c>
      <c r="Z539" s="12">
        <f>IF(M539="","",IF(M539&lt;0,N(Z538)+1,0))</f>
        <v/>
      </c>
    </row>
    <row r="540">
      <c r="H540" s="7" t="n"/>
      <c r="I540" s="7" t="n"/>
      <c r="J540" s="7" t="n"/>
      <c r="K540" s="7" t="n"/>
      <c r="M540" s="8" t="n"/>
      <c r="P540" s="9" t="n"/>
      <c r="Q540" s="10" t="n"/>
      <c r="R540" s="10" t="n"/>
      <c r="S540" s="11" t="n"/>
      <c r="U540" s="12">
        <f>IF(OR(H540="",I540=""),"",ROUND(Settings!$B$4/ABS(H540-I540),2))</f>
        <v/>
      </c>
      <c r="V540" s="13">
        <f>IF(M540="","",ROUND(M540*Settings!$B$4,2))</f>
        <v/>
      </c>
      <c r="W540" s="12">
        <f>IF(M540="","",SUM($M$2:M540))</f>
        <v/>
      </c>
      <c r="X540" s="12">
        <f>IF(M540="","",MAX(0,N(X539),W540))</f>
        <v/>
      </c>
      <c r="Y540" s="12">
        <f>IF(M540="","",X540-W540)</f>
        <v/>
      </c>
      <c r="Z540" s="12">
        <f>IF(M540="","",IF(M540&lt;0,N(Z539)+1,0))</f>
        <v/>
      </c>
    </row>
    <row r="541">
      <c r="H541" s="7" t="n"/>
      <c r="I541" s="7" t="n"/>
      <c r="J541" s="7" t="n"/>
      <c r="K541" s="7" t="n"/>
      <c r="M541" s="8" t="n"/>
      <c r="P541" s="9" t="n"/>
      <c r="Q541" s="10" t="n"/>
      <c r="R541" s="10" t="n"/>
      <c r="S541" s="11" t="n"/>
      <c r="U541" s="12">
        <f>IF(OR(H541="",I541=""),"",ROUND(Settings!$B$4/ABS(H541-I541),2))</f>
        <v/>
      </c>
      <c r="V541" s="13">
        <f>IF(M541="","",ROUND(M541*Settings!$B$4,2))</f>
        <v/>
      </c>
      <c r="W541" s="12">
        <f>IF(M541="","",SUM($M$2:M541))</f>
        <v/>
      </c>
      <c r="X541" s="12">
        <f>IF(M541="","",MAX(0,N(X540),W541))</f>
        <v/>
      </c>
      <c r="Y541" s="12">
        <f>IF(M541="","",X541-W541)</f>
        <v/>
      </c>
      <c r="Z541" s="12">
        <f>IF(M541="","",IF(M541&lt;0,N(Z540)+1,0))</f>
        <v/>
      </c>
    </row>
    <row r="542">
      <c r="H542" s="7" t="n"/>
      <c r="I542" s="7" t="n"/>
      <c r="J542" s="7" t="n"/>
      <c r="K542" s="7" t="n"/>
      <c r="M542" s="8" t="n"/>
      <c r="P542" s="9" t="n"/>
      <c r="Q542" s="10" t="n"/>
      <c r="R542" s="10" t="n"/>
      <c r="S542" s="11" t="n"/>
      <c r="U542" s="12">
        <f>IF(OR(H542="",I542=""),"",ROUND(Settings!$B$4/ABS(H542-I542),2))</f>
        <v/>
      </c>
      <c r="V542" s="13">
        <f>IF(M542="","",ROUND(M542*Settings!$B$4,2))</f>
        <v/>
      </c>
      <c r="W542" s="12">
        <f>IF(M542="","",SUM($M$2:M542))</f>
        <v/>
      </c>
      <c r="X542" s="12">
        <f>IF(M542="","",MAX(0,N(X541),W542))</f>
        <v/>
      </c>
      <c r="Y542" s="12">
        <f>IF(M542="","",X542-W542)</f>
        <v/>
      </c>
      <c r="Z542" s="12">
        <f>IF(M542="","",IF(M542&lt;0,N(Z541)+1,0))</f>
        <v/>
      </c>
    </row>
    <row r="543">
      <c r="H543" s="7" t="n"/>
      <c r="I543" s="7" t="n"/>
      <c r="J543" s="7" t="n"/>
      <c r="K543" s="7" t="n"/>
      <c r="M543" s="8" t="n"/>
      <c r="P543" s="9" t="n"/>
      <c r="Q543" s="10" t="n"/>
      <c r="R543" s="10" t="n"/>
      <c r="S543" s="11" t="n"/>
      <c r="U543" s="12">
        <f>IF(OR(H543="",I543=""),"",ROUND(Settings!$B$4/ABS(H543-I543),2))</f>
        <v/>
      </c>
      <c r="V543" s="13">
        <f>IF(M543="","",ROUND(M543*Settings!$B$4,2))</f>
        <v/>
      </c>
      <c r="W543" s="12">
        <f>IF(M543="","",SUM($M$2:M543))</f>
        <v/>
      </c>
      <c r="X543" s="12">
        <f>IF(M543="","",MAX(0,N(X542),W543))</f>
        <v/>
      </c>
      <c r="Y543" s="12">
        <f>IF(M543="","",X543-W543)</f>
        <v/>
      </c>
      <c r="Z543" s="12">
        <f>IF(M543="","",IF(M543&lt;0,N(Z542)+1,0))</f>
        <v/>
      </c>
    </row>
    <row r="544">
      <c r="H544" s="7" t="n"/>
      <c r="I544" s="7" t="n"/>
      <c r="J544" s="7" t="n"/>
      <c r="K544" s="7" t="n"/>
      <c r="M544" s="8" t="n"/>
      <c r="P544" s="9" t="n"/>
      <c r="Q544" s="10" t="n"/>
      <c r="R544" s="10" t="n"/>
      <c r="S544" s="11" t="n"/>
      <c r="U544" s="12">
        <f>IF(OR(H544="",I544=""),"",ROUND(Settings!$B$4/ABS(H544-I544),2))</f>
        <v/>
      </c>
      <c r="V544" s="13">
        <f>IF(M544="","",ROUND(M544*Settings!$B$4,2))</f>
        <v/>
      </c>
      <c r="W544" s="12">
        <f>IF(M544="","",SUM($M$2:M544))</f>
        <v/>
      </c>
      <c r="X544" s="12">
        <f>IF(M544="","",MAX(0,N(X543),W544))</f>
        <v/>
      </c>
      <c r="Y544" s="12">
        <f>IF(M544="","",X544-W544)</f>
        <v/>
      </c>
      <c r="Z544" s="12">
        <f>IF(M544="","",IF(M544&lt;0,N(Z543)+1,0))</f>
        <v/>
      </c>
    </row>
    <row r="545">
      <c r="H545" s="7" t="n"/>
      <c r="I545" s="7" t="n"/>
      <c r="J545" s="7" t="n"/>
      <c r="K545" s="7" t="n"/>
      <c r="M545" s="8" t="n"/>
      <c r="P545" s="9" t="n"/>
      <c r="Q545" s="10" t="n"/>
      <c r="R545" s="10" t="n"/>
      <c r="S545" s="11" t="n"/>
      <c r="U545" s="12">
        <f>IF(OR(H545="",I545=""),"",ROUND(Settings!$B$4/ABS(H545-I545),2))</f>
        <v/>
      </c>
      <c r="V545" s="13">
        <f>IF(M545="","",ROUND(M545*Settings!$B$4,2))</f>
        <v/>
      </c>
      <c r="W545" s="12">
        <f>IF(M545="","",SUM($M$2:M545))</f>
        <v/>
      </c>
      <c r="X545" s="12">
        <f>IF(M545="","",MAX(0,N(X544),W545))</f>
        <v/>
      </c>
      <c r="Y545" s="12">
        <f>IF(M545="","",X545-W545)</f>
        <v/>
      </c>
      <c r="Z545" s="12">
        <f>IF(M545="","",IF(M545&lt;0,N(Z544)+1,0))</f>
        <v/>
      </c>
    </row>
    <row r="546">
      <c r="H546" s="7" t="n"/>
      <c r="I546" s="7" t="n"/>
      <c r="J546" s="7" t="n"/>
      <c r="K546" s="7" t="n"/>
      <c r="M546" s="8" t="n"/>
      <c r="P546" s="9" t="n"/>
      <c r="Q546" s="10" t="n"/>
      <c r="R546" s="10" t="n"/>
      <c r="S546" s="11" t="n"/>
      <c r="U546" s="12">
        <f>IF(OR(H546="",I546=""),"",ROUND(Settings!$B$4/ABS(H546-I546),2))</f>
        <v/>
      </c>
      <c r="V546" s="13">
        <f>IF(M546="","",ROUND(M546*Settings!$B$4,2))</f>
        <v/>
      </c>
      <c r="W546" s="12">
        <f>IF(M546="","",SUM($M$2:M546))</f>
        <v/>
      </c>
      <c r="X546" s="12">
        <f>IF(M546="","",MAX(0,N(X545),W546))</f>
        <v/>
      </c>
      <c r="Y546" s="12">
        <f>IF(M546="","",X546-W546)</f>
        <v/>
      </c>
      <c r="Z546" s="12">
        <f>IF(M546="","",IF(M546&lt;0,N(Z545)+1,0))</f>
        <v/>
      </c>
    </row>
    <row r="547">
      <c r="H547" s="7" t="n"/>
      <c r="I547" s="7" t="n"/>
      <c r="J547" s="7" t="n"/>
      <c r="K547" s="7" t="n"/>
      <c r="M547" s="8" t="n"/>
      <c r="P547" s="9" t="n"/>
      <c r="Q547" s="10" t="n"/>
      <c r="R547" s="10" t="n"/>
      <c r="S547" s="11" t="n"/>
      <c r="U547" s="12">
        <f>IF(OR(H547="",I547=""),"",ROUND(Settings!$B$4/ABS(H547-I547),2))</f>
        <v/>
      </c>
      <c r="V547" s="13">
        <f>IF(M547="","",ROUND(M547*Settings!$B$4,2))</f>
        <v/>
      </c>
      <c r="W547" s="12">
        <f>IF(M547="","",SUM($M$2:M547))</f>
        <v/>
      </c>
      <c r="X547" s="12">
        <f>IF(M547="","",MAX(0,N(X546),W547))</f>
        <v/>
      </c>
      <c r="Y547" s="12">
        <f>IF(M547="","",X547-W547)</f>
        <v/>
      </c>
      <c r="Z547" s="12">
        <f>IF(M547="","",IF(M547&lt;0,N(Z546)+1,0))</f>
        <v/>
      </c>
    </row>
    <row r="548">
      <c r="H548" s="7" t="n"/>
      <c r="I548" s="7" t="n"/>
      <c r="J548" s="7" t="n"/>
      <c r="K548" s="7" t="n"/>
      <c r="M548" s="8" t="n"/>
      <c r="P548" s="9" t="n"/>
      <c r="Q548" s="10" t="n"/>
      <c r="R548" s="10" t="n"/>
      <c r="S548" s="11" t="n"/>
      <c r="U548" s="12">
        <f>IF(OR(H548="",I548=""),"",ROUND(Settings!$B$4/ABS(H548-I548),2))</f>
        <v/>
      </c>
      <c r="V548" s="13">
        <f>IF(M548="","",ROUND(M548*Settings!$B$4,2))</f>
        <v/>
      </c>
      <c r="W548" s="12">
        <f>IF(M548="","",SUM($M$2:M548))</f>
        <v/>
      </c>
      <c r="X548" s="12">
        <f>IF(M548="","",MAX(0,N(X547),W548))</f>
        <v/>
      </c>
      <c r="Y548" s="12">
        <f>IF(M548="","",X548-W548)</f>
        <v/>
      </c>
      <c r="Z548" s="12">
        <f>IF(M548="","",IF(M548&lt;0,N(Z547)+1,0))</f>
        <v/>
      </c>
    </row>
    <row r="549">
      <c r="H549" s="7" t="n"/>
      <c r="I549" s="7" t="n"/>
      <c r="J549" s="7" t="n"/>
      <c r="K549" s="7" t="n"/>
      <c r="M549" s="8" t="n"/>
      <c r="P549" s="9" t="n"/>
      <c r="Q549" s="10" t="n"/>
      <c r="R549" s="10" t="n"/>
      <c r="S549" s="11" t="n"/>
      <c r="U549" s="12">
        <f>IF(OR(H549="",I549=""),"",ROUND(Settings!$B$4/ABS(H549-I549),2))</f>
        <v/>
      </c>
      <c r="V549" s="13">
        <f>IF(M549="","",ROUND(M549*Settings!$B$4,2))</f>
        <v/>
      </c>
      <c r="W549" s="12">
        <f>IF(M549="","",SUM($M$2:M549))</f>
        <v/>
      </c>
      <c r="X549" s="12">
        <f>IF(M549="","",MAX(0,N(X548),W549))</f>
        <v/>
      </c>
      <c r="Y549" s="12">
        <f>IF(M549="","",X549-W549)</f>
        <v/>
      </c>
      <c r="Z549" s="12">
        <f>IF(M549="","",IF(M549&lt;0,N(Z548)+1,0))</f>
        <v/>
      </c>
    </row>
    <row r="550">
      <c r="H550" s="7" t="n"/>
      <c r="I550" s="7" t="n"/>
      <c r="J550" s="7" t="n"/>
      <c r="K550" s="7" t="n"/>
      <c r="M550" s="8" t="n"/>
      <c r="P550" s="9" t="n"/>
      <c r="Q550" s="10" t="n"/>
      <c r="R550" s="10" t="n"/>
      <c r="S550" s="11" t="n"/>
      <c r="U550" s="12">
        <f>IF(OR(H550="",I550=""),"",ROUND(Settings!$B$4/ABS(H550-I550),2))</f>
        <v/>
      </c>
      <c r="V550" s="13">
        <f>IF(M550="","",ROUND(M550*Settings!$B$4,2))</f>
        <v/>
      </c>
      <c r="W550" s="12">
        <f>IF(M550="","",SUM($M$2:M550))</f>
        <v/>
      </c>
      <c r="X550" s="12">
        <f>IF(M550="","",MAX(0,N(X549),W550))</f>
        <v/>
      </c>
      <c r="Y550" s="12">
        <f>IF(M550="","",X550-W550)</f>
        <v/>
      </c>
      <c r="Z550" s="12">
        <f>IF(M550="","",IF(M550&lt;0,N(Z549)+1,0))</f>
        <v/>
      </c>
    </row>
    <row r="551">
      <c r="H551" s="7" t="n"/>
      <c r="I551" s="7" t="n"/>
      <c r="J551" s="7" t="n"/>
      <c r="K551" s="7" t="n"/>
      <c r="M551" s="8" t="n"/>
      <c r="P551" s="9" t="n"/>
      <c r="Q551" s="10" t="n"/>
      <c r="R551" s="10" t="n"/>
      <c r="S551" s="11" t="n"/>
      <c r="U551" s="12">
        <f>IF(OR(H551="",I551=""),"",ROUND(Settings!$B$4/ABS(H551-I551),2))</f>
        <v/>
      </c>
      <c r="V551" s="13">
        <f>IF(M551="","",ROUND(M551*Settings!$B$4,2))</f>
        <v/>
      </c>
      <c r="W551" s="12">
        <f>IF(M551="","",SUM($M$2:M551))</f>
        <v/>
      </c>
      <c r="X551" s="12">
        <f>IF(M551="","",MAX(0,N(X550),W551))</f>
        <v/>
      </c>
      <c r="Y551" s="12">
        <f>IF(M551="","",X551-W551)</f>
        <v/>
      </c>
      <c r="Z551" s="12">
        <f>IF(M551="","",IF(M551&lt;0,N(Z550)+1,0))</f>
        <v/>
      </c>
    </row>
    <row r="552">
      <c r="H552" s="7" t="n"/>
      <c r="I552" s="7" t="n"/>
      <c r="J552" s="7" t="n"/>
      <c r="K552" s="7" t="n"/>
      <c r="M552" s="8" t="n"/>
      <c r="P552" s="9" t="n"/>
      <c r="Q552" s="10" t="n"/>
      <c r="R552" s="10" t="n"/>
      <c r="S552" s="11" t="n"/>
      <c r="U552" s="12">
        <f>IF(OR(H552="",I552=""),"",ROUND(Settings!$B$4/ABS(H552-I552),2))</f>
        <v/>
      </c>
      <c r="V552" s="13">
        <f>IF(M552="","",ROUND(M552*Settings!$B$4,2))</f>
        <v/>
      </c>
      <c r="W552" s="12">
        <f>IF(M552="","",SUM($M$2:M552))</f>
        <v/>
      </c>
      <c r="X552" s="12">
        <f>IF(M552="","",MAX(0,N(X551),W552))</f>
        <v/>
      </c>
      <c r="Y552" s="12">
        <f>IF(M552="","",X552-W552)</f>
        <v/>
      </c>
      <c r="Z552" s="12">
        <f>IF(M552="","",IF(M552&lt;0,N(Z551)+1,0))</f>
        <v/>
      </c>
    </row>
    <row r="553">
      <c r="H553" s="7" t="n"/>
      <c r="I553" s="7" t="n"/>
      <c r="J553" s="7" t="n"/>
      <c r="K553" s="7" t="n"/>
      <c r="M553" s="8" t="n"/>
      <c r="P553" s="9" t="n"/>
      <c r="Q553" s="10" t="n"/>
      <c r="R553" s="10" t="n"/>
      <c r="S553" s="11" t="n"/>
      <c r="U553" s="12">
        <f>IF(OR(H553="",I553=""),"",ROUND(Settings!$B$4/ABS(H553-I553),2))</f>
        <v/>
      </c>
      <c r="V553" s="13">
        <f>IF(M553="","",ROUND(M553*Settings!$B$4,2))</f>
        <v/>
      </c>
      <c r="W553" s="12">
        <f>IF(M553="","",SUM($M$2:M553))</f>
        <v/>
      </c>
      <c r="X553" s="12">
        <f>IF(M553="","",MAX(0,N(X552),W553))</f>
        <v/>
      </c>
      <c r="Y553" s="12">
        <f>IF(M553="","",X553-W553)</f>
        <v/>
      </c>
      <c r="Z553" s="12">
        <f>IF(M553="","",IF(M553&lt;0,N(Z552)+1,0))</f>
        <v/>
      </c>
    </row>
    <row r="554">
      <c r="H554" s="7" t="n"/>
      <c r="I554" s="7" t="n"/>
      <c r="J554" s="7" t="n"/>
      <c r="K554" s="7" t="n"/>
      <c r="M554" s="8" t="n"/>
      <c r="P554" s="9" t="n"/>
      <c r="Q554" s="10" t="n"/>
      <c r="R554" s="10" t="n"/>
      <c r="S554" s="11" t="n"/>
      <c r="U554" s="12">
        <f>IF(OR(H554="",I554=""),"",ROUND(Settings!$B$4/ABS(H554-I554),2))</f>
        <v/>
      </c>
      <c r="V554" s="13">
        <f>IF(M554="","",ROUND(M554*Settings!$B$4,2))</f>
        <v/>
      </c>
      <c r="W554" s="12">
        <f>IF(M554="","",SUM($M$2:M554))</f>
        <v/>
      </c>
      <c r="X554" s="12">
        <f>IF(M554="","",MAX(0,N(X553),W554))</f>
        <v/>
      </c>
      <c r="Y554" s="12">
        <f>IF(M554="","",X554-W554)</f>
        <v/>
      </c>
      <c r="Z554" s="12">
        <f>IF(M554="","",IF(M554&lt;0,N(Z553)+1,0))</f>
        <v/>
      </c>
    </row>
    <row r="555">
      <c r="H555" s="7" t="n"/>
      <c r="I555" s="7" t="n"/>
      <c r="J555" s="7" t="n"/>
      <c r="K555" s="7" t="n"/>
      <c r="M555" s="8" t="n"/>
      <c r="P555" s="9" t="n"/>
      <c r="Q555" s="10" t="n"/>
      <c r="R555" s="10" t="n"/>
      <c r="S555" s="11" t="n"/>
      <c r="U555" s="12">
        <f>IF(OR(H555="",I555=""),"",ROUND(Settings!$B$4/ABS(H555-I555),2))</f>
        <v/>
      </c>
      <c r="V555" s="13">
        <f>IF(M555="","",ROUND(M555*Settings!$B$4,2))</f>
        <v/>
      </c>
      <c r="W555" s="12">
        <f>IF(M555="","",SUM($M$2:M555))</f>
        <v/>
      </c>
      <c r="X555" s="12">
        <f>IF(M555="","",MAX(0,N(X554),W555))</f>
        <v/>
      </c>
      <c r="Y555" s="12">
        <f>IF(M555="","",X555-W555)</f>
        <v/>
      </c>
      <c r="Z555" s="12">
        <f>IF(M555="","",IF(M555&lt;0,N(Z554)+1,0))</f>
        <v/>
      </c>
    </row>
    <row r="556">
      <c r="H556" s="7" t="n"/>
      <c r="I556" s="7" t="n"/>
      <c r="J556" s="7" t="n"/>
      <c r="K556" s="7" t="n"/>
      <c r="M556" s="8" t="n"/>
      <c r="P556" s="9" t="n"/>
      <c r="Q556" s="10" t="n"/>
      <c r="R556" s="10" t="n"/>
      <c r="S556" s="11" t="n"/>
      <c r="U556" s="12">
        <f>IF(OR(H556="",I556=""),"",ROUND(Settings!$B$4/ABS(H556-I556),2))</f>
        <v/>
      </c>
      <c r="V556" s="13">
        <f>IF(M556="","",ROUND(M556*Settings!$B$4,2))</f>
        <v/>
      </c>
      <c r="W556" s="12">
        <f>IF(M556="","",SUM($M$2:M556))</f>
        <v/>
      </c>
      <c r="X556" s="12">
        <f>IF(M556="","",MAX(0,N(X555),W556))</f>
        <v/>
      </c>
      <c r="Y556" s="12">
        <f>IF(M556="","",X556-W556)</f>
        <v/>
      </c>
      <c r="Z556" s="12">
        <f>IF(M556="","",IF(M556&lt;0,N(Z555)+1,0))</f>
        <v/>
      </c>
    </row>
    <row r="557">
      <c r="H557" s="7" t="n"/>
      <c r="I557" s="7" t="n"/>
      <c r="J557" s="7" t="n"/>
      <c r="K557" s="7" t="n"/>
      <c r="M557" s="8" t="n"/>
      <c r="P557" s="9" t="n"/>
      <c r="Q557" s="10" t="n"/>
      <c r="R557" s="10" t="n"/>
      <c r="S557" s="11" t="n"/>
      <c r="U557" s="12">
        <f>IF(OR(H557="",I557=""),"",ROUND(Settings!$B$4/ABS(H557-I557),2))</f>
        <v/>
      </c>
      <c r="V557" s="13">
        <f>IF(M557="","",ROUND(M557*Settings!$B$4,2))</f>
        <v/>
      </c>
      <c r="W557" s="12">
        <f>IF(M557="","",SUM($M$2:M557))</f>
        <v/>
      </c>
      <c r="X557" s="12">
        <f>IF(M557="","",MAX(0,N(X556),W557))</f>
        <v/>
      </c>
      <c r="Y557" s="12">
        <f>IF(M557="","",X557-W557)</f>
        <v/>
      </c>
      <c r="Z557" s="12">
        <f>IF(M557="","",IF(M557&lt;0,N(Z556)+1,0))</f>
        <v/>
      </c>
    </row>
    <row r="558">
      <c r="H558" s="7" t="n"/>
      <c r="I558" s="7" t="n"/>
      <c r="J558" s="7" t="n"/>
      <c r="K558" s="7" t="n"/>
      <c r="M558" s="8" t="n"/>
      <c r="P558" s="9" t="n"/>
      <c r="Q558" s="10" t="n"/>
      <c r="R558" s="10" t="n"/>
      <c r="S558" s="11" t="n"/>
      <c r="U558" s="12">
        <f>IF(OR(H558="",I558=""),"",ROUND(Settings!$B$4/ABS(H558-I558),2))</f>
        <v/>
      </c>
      <c r="V558" s="13">
        <f>IF(M558="","",ROUND(M558*Settings!$B$4,2))</f>
        <v/>
      </c>
      <c r="W558" s="12">
        <f>IF(M558="","",SUM($M$2:M558))</f>
        <v/>
      </c>
      <c r="X558" s="12">
        <f>IF(M558="","",MAX(0,N(X557),W558))</f>
        <v/>
      </c>
      <c r="Y558" s="12">
        <f>IF(M558="","",X558-W558)</f>
        <v/>
      </c>
      <c r="Z558" s="12">
        <f>IF(M558="","",IF(M558&lt;0,N(Z557)+1,0))</f>
        <v/>
      </c>
    </row>
    <row r="559">
      <c r="H559" s="7" t="n"/>
      <c r="I559" s="7" t="n"/>
      <c r="J559" s="7" t="n"/>
      <c r="K559" s="7" t="n"/>
      <c r="M559" s="8" t="n"/>
      <c r="P559" s="9" t="n"/>
      <c r="Q559" s="10" t="n"/>
      <c r="R559" s="10" t="n"/>
      <c r="S559" s="11" t="n"/>
      <c r="U559" s="12">
        <f>IF(OR(H559="",I559=""),"",ROUND(Settings!$B$4/ABS(H559-I559),2))</f>
        <v/>
      </c>
      <c r="V559" s="13">
        <f>IF(M559="","",ROUND(M559*Settings!$B$4,2))</f>
        <v/>
      </c>
      <c r="W559" s="12">
        <f>IF(M559="","",SUM($M$2:M559))</f>
        <v/>
      </c>
      <c r="X559" s="12">
        <f>IF(M559="","",MAX(0,N(X558),W559))</f>
        <v/>
      </c>
      <c r="Y559" s="12">
        <f>IF(M559="","",X559-W559)</f>
        <v/>
      </c>
      <c r="Z559" s="12">
        <f>IF(M559="","",IF(M559&lt;0,N(Z558)+1,0))</f>
        <v/>
      </c>
    </row>
    <row r="560">
      <c r="H560" s="7" t="n"/>
      <c r="I560" s="7" t="n"/>
      <c r="J560" s="7" t="n"/>
      <c r="K560" s="7" t="n"/>
      <c r="M560" s="8" t="n"/>
      <c r="P560" s="9" t="n"/>
      <c r="Q560" s="10" t="n"/>
      <c r="R560" s="10" t="n"/>
      <c r="S560" s="11" t="n"/>
      <c r="U560" s="12">
        <f>IF(OR(H560="",I560=""),"",ROUND(Settings!$B$4/ABS(H560-I560),2))</f>
        <v/>
      </c>
      <c r="V560" s="13">
        <f>IF(M560="","",ROUND(M560*Settings!$B$4,2))</f>
        <v/>
      </c>
      <c r="W560" s="12">
        <f>IF(M560="","",SUM($M$2:M560))</f>
        <v/>
      </c>
      <c r="X560" s="12">
        <f>IF(M560="","",MAX(0,N(X559),W560))</f>
        <v/>
      </c>
      <c r="Y560" s="12">
        <f>IF(M560="","",X560-W560)</f>
        <v/>
      </c>
      <c r="Z560" s="12">
        <f>IF(M560="","",IF(M560&lt;0,N(Z559)+1,0))</f>
        <v/>
      </c>
    </row>
    <row r="561">
      <c r="H561" s="7" t="n"/>
      <c r="I561" s="7" t="n"/>
      <c r="J561" s="7" t="n"/>
      <c r="K561" s="7" t="n"/>
      <c r="M561" s="8" t="n"/>
      <c r="P561" s="9" t="n"/>
      <c r="Q561" s="10" t="n"/>
      <c r="R561" s="10" t="n"/>
      <c r="S561" s="11" t="n"/>
      <c r="U561" s="12">
        <f>IF(OR(H561="",I561=""),"",ROUND(Settings!$B$4/ABS(H561-I561),2))</f>
        <v/>
      </c>
      <c r="V561" s="13">
        <f>IF(M561="","",ROUND(M561*Settings!$B$4,2))</f>
        <v/>
      </c>
      <c r="W561" s="12">
        <f>IF(M561="","",SUM($M$2:M561))</f>
        <v/>
      </c>
      <c r="X561" s="12">
        <f>IF(M561="","",MAX(0,N(X560),W561))</f>
        <v/>
      </c>
      <c r="Y561" s="12">
        <f>IF(M561="","",X561-W561)</f>
        <v/>
      </c>
      <c r="Z561" s="12">
        <f>IF(M561="","",IF(M561&lt;0,N(Z560)+1,0))</f>
        <v/>
      </c>
    </row>
    <row r="562">
      <c r="H562" s="7" t="n"/>
      <c r="I562" s="7" t="n"/>
      <c r="J562" s="7" t="n"/>
      <c r="K562" s="7" t="n"/>
      <c r="M562" s="8" t="n"/>
      <c r="P562" s="9" t="n"/>
      <c r="Q562" s="10" t="n"/>
      <c r="R562" s="10" t="n"/>
      <c r="S562" s="11" t="n"/>
      <c r="U562" s="12">
        <f>IF(OR(H562="",I562=""),"",ROUND(Settings!$B$4/ABS(H562-I562),2))</f>
        <v/>
      </c>
      <c r="V562" s="13">
        <f>IF(M562="","",ROUND(M562*Settings!$B$4,2))</f>
        <v/>
      </c>
      <c r="W562" s="12">
        <f>IF(M562="","",SUM($M$2:M562))</f>
        <v/>
      </c>
      <c r="X562" s="12">
        <f>IF(M562="","",MAX(0,N(X561),W562))</f>
        <v/>
      </c>
      <c r="Y562" s="12">
        <f>IF(M562="","",X562-W562)</f>
        <v/>
      </c>
      <c r="Z562" s="12">
        <f>IF(M562="","",IF(M562&lt;0,N(Z561)+1,0))</f>
        <v/>
      </c>
    </row>
    <row r="563">
      <c r="H563" s="7" t="n"/>
      <c r="I563" s="7" t="n"/>
      <c r="J563" s="7" t="n"/>
      <c r="K563" s="7" t="n"/>
      <c r="M563" s="8" t="n"/>
      <c r="P563" s="9" t="n"/>
      <c r="Q563" s="10" t="n"/>
      <c r="R563" s="10" t="n"/>
      <c r="S563" s="11" t="n"/>
      <c r="U563" s="12">
        <f>IF(OR(H563="",I563=""),"",ROUND(Settings!$B$4/ABS(H563-I563),2))</f>
        <v/>
      </c>
      <c r="V563" s="13">
        <f>IF(M563="","",ROUND(M563*Settings!$B$4,2))</f>
        <v/>
      </c>
      <c r="W563" s="12">
        <f>IF(M563="","",SUM($M$2:M563))</f>
        <v/>
      </c>
      <c r="X563" s="12">
        <f>IF(M563="","",MAX(0,N(X562),W563))</f>
        <v/>
      </c>
      <c r="Y563" s="12">
        <f>IF(M563="","",X563-W563)</f>
        <v/>
      </c>
      <c r="Z563" s="12">
        <f>IF(M563="","",IF(M563&lt;0,N(Z562)+1,0))</f>
        <v/>
      </c>
    </row>
    <row r="564">
      <c r="H564" s="7" t="n"/>
      <c r="I564" s="7" t="n"/>
      <c r="J564" s="7" t="n"/>
      <c r="K564" s="7" t="n"/>
      <c r="M564" s="8" t="n"/>
      <c r="P564" s="9" t="n"/>
      <c r="Q564" s="10" t="n"/>
      <c r="R564" s="10" t="n"/>
      <c r="S564" s="11" t="n"/>
      <c r="U564" s="12">
        <f>IF(OR(H564="",I564=""),"",ROUND(Settings!$B$4/ABS(H564-I564),2))</f>
        <v/>
      </c>
      <c r="V564" s="13">
        <f>IF(M564="","",ROUND(M564*Settings!$B$4,2))</f>
        <v/>
      </c>
      <c r="W564" s="12">
        <f>IF(M564="","",SUM($M$2:M564))</f>
        <v/>
      </c>
      <c r="X564" s="12">
        <f>IF(M564="","",MAX(0,N(X563),W564))</f>
        <v/>
      </c>
      <c r="Y564" s="12">
        <f>IF(M564="","",X564-W564)</f>
        <v/>
      </c>
      <c r="Z564" s="12">
        <f>IF(M564="","",IF(M564&lt;0,N(Z563)+1,0))</f>
        <v/>
      </c>
    </row>
    <row r="565">
      <c r="H565" s="7" t="n"/>
      <c r="I565" s="7" t="n"/>
      <c r="J565" s="7" t="n"/>
      <c r="K565" s="7" t="n"/>
      <c r="M565" s="8" t="n"/>
      <c r="P565" s="9" t="n"/>
      <c r="Q565" s="10" t="n"/>
      <c r="R565" s="10" t="n"/>
      <c r="S565" s="11" t="n"/>
      <c r="U565" s="12">
        <f>IF(OR(H565="",I565=""),"",ROUND(Settings!$B$4/ABS(H565-I565),2))</f>
        <v/>
      </c>
      <c r="V565" s="13">
        <f>IF(M565="","",ROUND(M565*Settings!$B$4,2))</f>
        <v/>
      </c>
      <c r="W565" s="12">
        <f>IF(M565="","",SUM($M$2:M565))</f>
        <v/>
      </c>
      <c r="X565" s="12">
        <f>IF(M565="","",MAX(0,N(X564),W565))</f>
        <v/>
      </c>
      <c r="Y565" s="12">
        <f>IF(M565="","",X565-W565)</f>
        <v/>
      </c>
      <c r="Z565" s="12">
        <f>IF(M565="","",IF(M565&lt;0,N(Z564)+1,0))</f>
        <v/>
      </c>
    </row>
    <row r="566">
      <c r="H566" s="7" t="n"/>
      <c r="I566" s="7" t="n"/>
      <c r="J566" s="7" t="n"/>
      <c r="K566" s="7" t="n"/>
      <c r="M566" s="8" t="n"/>
      <c r="P566" s="9" t="n"/>
      <c r="Q566" s="10" t="n"/>
      <c r="R566" s="10" t="n"/>
      <c r="S566" s="11" t="n"/>
      <c r="U566" s="12">
        <f>IF(OR(H566="",I566=""),"",ROUND(Settings!$B$4/ABS(H566-I566),2))</f>
        <v/>
      </c>
      <c r="V566" s="13">
        <f>IF(M566="","",ROUND(M566*Settings!$B$4,2))</f>
        <v/>
      </c>
      <c r="W566" s="12">
        <f>IF(M566="","",SUM($M$2:M566))</f>
        <v/>
      </c>
      <c r="X566" s="12">
        <f>IF(M566="","",MAX(0,N(X565),W566))</f>
        <v/>
      </c>
      <c r="Y566" s="12">
        <f>IF(M566="","",X566-W566)</f>
        <v/>
      </c>
      <c r="Z566" s="12">
        <f>IF(M566="","",IF(M566&lt;0,N(Z565)+1,0))</f>
        <v/>
      </c>
    </row>
    <row r="567">
      <c r="H567" s="7" t="n"/>
      <c r="I567" s="7" t="n"/>
      <c r="J567" s="7" t="n"/>
      <c r="K567" s="7" t="n"/>
      <c r="M567" s="8" t="n"/>
      <c r="P567" s="9" t="n"/>
      <c r="Q567" s="10" t="n"/>
      <c r="R567" s="10" t="n"/>
      <c r="S567" s="11" t="n"/>
      <c r="U567" s="12">
        <f>IF(OR(H567="",I567=""),"",ROUND(Settings!$B$4/ABS(H567-I567),2))</f>
        <v/>
      </c>
      <c r="V567" s="13">
        <f>IF(M567="","",ROUND(M567*Settings!$B$4,2))</f>
        <v/>
      </c>
      <c r="W567" s="12">
        <f>IF(M567="","",SUM($M$2:M567))</f>
        <v/>
      </c>
      <c r="X567" s="12">
        <f>IF(M567="","",MAX(0,N(X566),W567))</f>
        <v/>
      </c>
      <c r="Y567" s="12">
        <f>IF(M567="","",X567-W567)</f>
        <v/>
      </c>
      <c r="Z567" s="12">
        <f>IF(M567="","",IF(M567&lt;0,N(Z566)+1,0))</f>
        <v/>
      </c>
    </row>
    <row r="568">
      <c r="H568" s="7" t="n"/>
      <c r="I568" s="7" t="n"/>
      <c r="J568" s="7" t="n"/>
      <c r="K568" s="7" t="n"/>
      <c r="M568" s="8" t="n"/>
      <c r="P568" s="9" t="n"/>
      <c r="Q568" s="10" t="n"/>
      <c r="R568" s="10" t="n"/>
      <c r="S568" s="11" t="n"/>
      <c r="U568" s="12">
        <f>IF(OR(H568="",I568=""),"",ROUND(Settings!$B$4/ABS(H568-I568),2))</f>
        <v/>
      </c>
      <c r="V568" s="13">
        <f>IF(M568="","",ROUND(M568*Settings!$B$4,2))</f>
        <v/>
      </c>
      <c r="W568" s="12">
        <f>IF(M568="","",SUM($M$2:M568))</f>
        <v/>
      </c>
      <c r="X568" s="12">
        <f>IF(M568="","",MAX(0,N(X567),W568))</f>
        <v/>
      </c>
      <c r="Y568" s="12">
        <f>IF(M568="","",X568-W568)</f>
        <v/>
      </c>
      <c r="Z568" s="12">
        <f>IF(M568="","",IF(M568&lt;0,N(Z567)+1,0))</f>
        <v/>
      </c>
    </row>
    <row r="569">
      <c r="H569" s="7" t="n"/>
      <c r="I569" s="7" t="n"/>
      <c r="J569" s="7" t="n"/>
      <c r="K569" s="7" t="n"/>
      <c r="M569" s="8" t="n"/>
      <c r="P569" s="9" t="n"/>
      <c r="Q569" s="10" t="n"/>
      <c r="R569" s="10" t="n"/>
      <c r="S569" s="11" t="n"/>
      <c r="U569" s="12">
        <f>IF(OR(H569="",I569=""),"",ROUND(Settings!$B$4/ABS(H569-I569),2))</f>
        <v/>
      </c>
      <c r="V569" s="13">
        <f>IF(M569="","",ROUND(M569*Settings!$B$4,2))</f>
        <v/>
      </c>
      <c r="W569" s="12">
        <f>IF(M569="","",SUM($M$2:M569))</f>
        <v/>
      </c>
      <c r="X569" s="12">
        <f>IF(M569="","",MAX(0,N(X568),W569))</f>
        <v/>
      </c>
      <c r="Y569" s="12">
        <f>IF(M569="","",X569-W569)</f>
        <v/>
      </c>
      <c r="Z569" s="12">
        <f>IF(M569="","",IF(M569&lt;0,N(Z568)+1,0))</f>
        <v/>
      </c>
    </row>
    <row r="570">
      <c r="H570" s="7" t="n"/>
      <c r="I570" s="7" t="n"/>
      <c r="J570" s="7" t="n"/>
      <c r="K570" s="7" t="n"/>
      <c r="M570" s="8" t="n"/>
      <c r="P570" s="9" t="n"/>
      <c r="Q570" s="10" t="n"/>
      <c r="R570" s="10" t="n"/>
      <c r="S570" s="11" t="n"/>
      <c r="U570" s="12">
        <f>IF(OR(H570="",I570=""),"",ROUND(Settings!$B$4/ABS(H570-I570),2))</f>
        <v/>
      </c>
      <c r="V570" s="13">
        <f>IF(M570="","",ROUND(M570*Settings!$B$4,2))</f>
        <v/>
      </c>
      <c r="W570" s="12">
        <f>IF(M570="","",SUM($M$2:M570))</f>
        <v/>
      </c>
      <c r="X570" s="12">
        <f>IF(M570="","",MAX(0,N(X569),W570))</f>
        <v/>
      </c>
      <c r="Y570" s="12">
        <f>IF(M570="","",X570-W570)</f>
        <v/>
      </c>
      <c r="Z570" s="12">
        <f>IF(M570="","",IF(M570&lt;0,N(Z569)+1,0))</f>
        <v/>
      </c>
    </row>
    <row r="571">
      <c r="H571" s="7" t="n"/>
      <c r="I571" s="7" t="n"/>
      <c r="J571" s="7" t="n"/>
      <c r="K571" s="7" t="n"/>
      <c r="M571" s="8" t="n"/>
      <c r="P571" s="9" t="n"/>
      <c r="Q571" s="10" t="n"/>
      <c r="R571" s="10" t="n"/>
      <c r="S571" s="11" t="n"/>
      <c r="U571" s="12">
        <f>IF(OR(H571="",I571=""),"",ROUND(Settings!$B$4/ABS(H571-I571),2))</f>
        <v/>
      </c>
      <c r="V571" s="13">
        <f>IF(M571="","",ROUND(M571*Settings!$B$4,2))</f>
        <v/>
      </c>
      <c r="W571" s="12">
        <f>IF(M571="","",SUM($M$2:M571))</f>
        <v/>
      </c>
      <c r="X571" s="12">
        <f>IF(M571="","",MAX(0,N(X570),W571))</f>
        <v/>
      </c>
      <c r="Y571" s="12">
        <f>IF(M571="","",X571-W571)</f>
        <v/>
      </c>
      <c r="Z571" s="12">
        <f>IF(M571="","",IF(M571&lt;0,N(Z570)+1,0))</f>
        <v/>
      </c>
    </row>
    <row r="572">
      <c r="H572" s="7" t="n"/>
      <c r="I572" s="7" t="n"/>
      <c r="J572" s="7" t="n"/>
      <c r="K572" s="7" t="n"/>
      <c r="M572" s="8" t="n"/>
      <c r="P572" s="9" t="n"/>
      <c r="Q572" s="10" t="n"/>
      <c r="R572" s="10" t="n"/>
      <c r="S572" s="11" t="n"/>
      <c r="U572" s="12">
        <f>IF(OR(H572="",I572=""),"",ROUND(Settings!$B$4/ABS(H572-I572),2))</f>
        <v/>
      </c>
      <c r="V572" s="13">
        <f>IF(M572="","",ROUND(M572*Settings!$B$4,2))</f>
        <v/>
      </c>
      <c r="W572" s="12">
        <f>IF(M572="","",SUM($M$2:M572))</f>
        <v/>
      </c>
      <c r="X572" s="12">
        <f>IF(M572="","",MAX(0,N(X571),W572))</f>
        <v/>
      </c>
      <c r="Y572" s="12">
        <f>IF(M572="","",X572-W572)</f>
        <v/>
      </c>
      <c r="Z572" s="12">
        <f>IF(M572="","",IF(M572&lt;0,N(Z571)+1,0))</f>
        <v/>
      </c>
    </row>
    <row r="573">
      <c r="H573" s="7" t="n"/>
      <c r="I573" s="7" t="n"/>
      <c r="J573" s="7" t="n"/>
      <c r="K573" s="7" t="n"/>
      <c r="M573" s="8" t="n"/>
      <c r="P573" s="9" t="n"/>
      <c r="Q573" s="10" t="n"/>
      <c r="R573" s="10" t="n"/>
      <c r="S573" s="11" t="n"/>
      <c r="U573" s="12">
        <f>IF(OR(H573="",I573=""),"",ROUND(Settings!$B$4/ABS(H573-I573),2))</f>
        <v/>
      </c>
      <c r="V573" s="13">
        <f>IF(M573="","",ROUND(M573*Settings!$B$4,2))</f>
        <v/>
      </c>
      <c r="W573" s="12">
        <f>IF(M573="","",SUM($M$2:M573))</f>
        <v/>
      </c>
      <c r="X573" s="12">
        <f>IF(M573="","",MAX(0,N(X572),W573))</f>
        <v/>
      </c>
      <c r="Y573" s="12">
        <f>IF(M573="","",X573-W573)</f>
        <v/>
      </c>
      <c r="Z573" s="12">
        <f>IF(M573="","",IF(M573&lt;0,N(Z572)+1,0))</f>
        <v/>
      </c>
    </row>
    <row r="574">
      <c r="H574" s="7" t="n"/>
      <c r="I574" s="7" t="n"/>
      <c r="J574" s="7" t="n"/>
      <c r="K574" s="7" t="n"/>
      <c r="M574" s="8" t="n"/>
      <c r="P574" s="9" t="n"/>
      <c r="Q574" s="10" t="n"/>
      <c r="R574" s="10" t="n"/>
      <c r="S574" s="11" t="n"/>
      <c r="U574" s="12">
        <f>IF(OR(H574="",I574=""),"",ROUND(Settings!$B$4/ABS(H574-I574),2))</f>
        <v/>
      </c>
      <c r="V574" s="13">
        <f>IF(M574="","",ROUND(M574*Settings!$B$4,2))</f>
        <v/>
      </c>
      <c r="W574" s="12">
        <f>IF(M574="","",SUM($M$2:M574))</f>
        <v/>
      </c>
      <c r="X574" s="12">
        <f>IF(M574="","",MAX(0,N(X573),W574))</f>
        <v/>
      </c>
      <c r="Y574" s="12">
        <f>IF(M574="","",X574-W574)</f>
        <v/>
      </c>
      <c r="Z574" s="12">
        <f>IF(M574="","",IF(M574&lt;0,N(Z573)+1,0))</f>
        <v/>
      </c>
    </row>
    <row r="575">
      <c r="H575" s="7" t="n"/>
      <c r="I575" s="7" t="n"/>
      <c r="J575" s="7" t="n"/>
      <c r="K575" s="7" t="n"/>
      <c r="M575" s="8" t="n"/>
      <c r="P575" s="9" t="n"/>
      <c r="Q575" s="10" t="n"/>
      <c r="R575" s="10" t="n"/>
      <c r="S575" s="11" t="n"/>
      <c r="U575" s="12">
        <f>IF(OR(H575="",I575=""),"",ROUND(Settings!$B$4/ABS(H575-I575),2))</f>
        <v/>
      </c>
      <c r="V575" s="13">
        <f>IF(M575="","",ROUND(M575*Settings!$B$4,2))</f>
        <v/>
      </c>
      <c r="W575" s="12">
        <f>IF(M575="","",SUM($M$2:M575))</f>
        <v/>
      </c>
      <c r="X575" s="12">
        <f>IF(M575="","",MAX(0,N(X574),W575))</f>
        <v/>
      </c>
      <c r="Y575" s="12">
        <f>IF(M575="","",X575-W575)</f>
        <v/>
      </c>
      <c r="Z575" s="12">
        <f>IF(M575="","",IF(M575&lt;0,N(Z574)+1,0))</f>
        <v/>
      </c>
    </row>
    <row r="576">
      <c r="H576" s="7" t="n"/>
      <c r="I576" s="7" t="n"/>
      <c r="J576" s="7" t="n"/>
      <c r="K576" s="7" t="n"/>
      <c r="M576" s="8" t="n"/>
      <c r="P576" s="9" t="n"/>
      <c r="Q576" s="10" t="n"/>
      <c r="R576" s="10" t="n"/>
      <c r="S576" s="11" t="n"/>
      <c r="U576" s="12">
        <f>IF(OR(H576="",I576=""),"",ROUND(Settings!$B$4/ABS(H576-I576),2))</f>
        <v/>
      </c>
      <c r="V576" s="13">
        <f>IF(M576="","",ROUND(M576*Settings!$B$4,2))</f>
        <v/>
      </c>
      <c r="W576" s="12">
        <f>IF(M576="","",SUM($M$2:M576))</f>
        <v/>
      </c>
      <c r="X576" s="12">
        <f>IF(M576="","",MAX(0,N(X575),W576))</f>
        <v/>
      </c>
      <c r="Y576" s="12">
        <f>IF(M576="","",X576-W576)</f>
        <v/>
      </c>
      <c r="Z576" s="12">
        <f>IF(M576="","",IF(M576&lt;0,N(Z575)+1,0))</f>
        <v/>
      </c>
    </row>
    <row r="577">
      <c r="H577" s="7" t="n"/>
      <c r="I577" s="7" t="n"/>
      <c r="J577" s="7" t="n"/>
      <c r="K577" s="7" t="n"/>
      <c r="M577" s="8" t="n"/>
      <c r="P577" s="9" t="n"/>
      <c r="Q577" s="10" t="n"/>
      <c r="R577" s="10" t="n"/>
      <c r="S577" s="11" t="n"/>
      <c r="U577" s="12">
        <f>IF(OR(H577="",I577=""),"",ROUND(Settings!$B$4/ABS(H577-I577),2))</f>
        <v/>
      </c>
      <c r="V577" s="13">
        <f>IF(M577="","",ROUND(M577*Settings!$B$4,2))</f>
        <v/>
      </c>
      <c r="W577" s="12">
        <f>IF(M577="","",SUM($M$2:M577))</f>
        <v/>
      </c>
      <c r="X577" s="12">
        <f>IF(M577="","",MAX(0,N(X576),W577))</f>
        <v/>
      </c>
      <c r="Y577" s="12">
        <f>IF(M577="","",X577-W577)</f>
        <v/>
      </c>
      <c r="Z577" s="12">
        <f>IF(M577="","",IF(M577&lt;0,N(Z576)+1,0))</f>
        <v/>
      </c>
    </row>
    <row r="578">
      <c r="H578" s="7" t="n"/>
      <c r="I578" s="7" t="n"/>
      <c r="J578" s="7" t="n"/>
      <c r="K578" s="7" t="n"/>
      <c r="M578" s="8" t="n"/>
      <c r="P578" s="9" t="n"/>
      <c r="Q578" s="10" t="n"/>
      <c r="R578" s="10" t="n"/>
      <c r="S578" s="11" t="n"/>
      <c r="U578" s="12">
        <f>IF(OR(H578="",I578=""),"",ROUND(Settings!$B$4/ABS(H578-I578),2))</f>
        <v/>
      </c>
      <c r="V578" s="13">
        <f>IF(M578="","",ROUND(M578*Settings!$B$4,2))</f>
        <v/>
      </c>
      <c r="W578" s="12">
        <f>IF(M578="","",SUM($M$2:M578))</f>
        <v/>
      </c>
      <c r="X578" s="12">
        <f>IF(M578="","",MAX(0,N(X577),W578))</f>
        <v/>
      </c>
      <c r="Y578" s="12">
        <f>IF(M578="","",X578-W578)</f>
        <v/>
      </c>
      <c r="Z578" s="12">
        <f>IF(M578="","",IF(M578&lt;0,N(Z577)+1,0))</f>
        <v/>
      </c>
    </row>
    <row r="579">
      <c r="H579" s="7" t="n"/>
      <c r="I579" s="7" t="n"/>
      <c r="J579" s="7" t="n"/>
      <c r="K579" s="7" t="n"/>
      <c r="M579" s="8" t="n"/>
      <c r="P579" s="9" t="n"/>
      <c r="Q579" s="10" t="n"/>
      <c r="R579" s="10" t="n"/>
      <c r="S579" s="11" t="n"/>
      <c r="U579" s="12">
        <f>IF(OR(H579="",I579=""),"",ROUND(Settings!$B$4/ABS(H579-I579),2))</f>
        <v/>
      </c>
      <c r="V579" s="13">
        <f>IF(M579="","",ROUND(M579*Settings!$B$4,2))</f>
        <v/>
      </c>
      <c r="W579" s="12">
        <f>IF(M579="","",SUM($M$2:M579))</f>
        <v/>
      </c>
      <c r="X579" s="12">
        <f>IF(M579="","",MAX(0,N(X578),W579))</f>
        <v/>
      </c>
      <c r="Y579" s="12">
        <f>IF(M579="","",X579-W579)</f>
        <v/>
      </c>
      <c r="Z579" s="12">
        <f>IF(M579="","",IF(M579&lt;0,N(Z578)+1,0))</f>
        <v/>
      </c>
    </row>
    <row r="580">
      <c r="H580" s="7" t="n"/>
      <c r="I580" s="7" t="n"/>
      <c r="J580" s="7" t="n"/>
      <c r="K580" s="7" t="n"/>
      <c r="M580" s="8" t="n"/>
      <c r="P580" s="9" t="n"/>
      <c r="Q580" s="10" t="n"/>
      <c r="R580" s="10" t="n"/>
      <c r="S580" s="11" t="n"/>
      <c r="U580" s="12">
        <f>IF(OR(H580="",I580=""),"",ROUND(Settings!$B$4/ABS(H580-I580),2))</f>
        <v/>
      </c>
      <c r="V580" s="13">
        <f>IF(M580="","",ROUND(M580*Settings!$B$4,2))</f>
        <v/>
      </c>
      <c r="W580" s="12">
        <f>IF(M580="","",SUM($M$2:M580))</f>
        <v/>
      </c>
      <c r="X580" s="12">
        <f>IF(M580="","",MAX(0,N(X579),W580))</f>
        <v/>
      </c>
      <c r="Y580" s="12">
        <f>IF(M580="","",X580-W580)</f>
        <v/>
      </c>
      <c r="Z580" s="12">
        <f>IF(M580="","",IF(M580&lt;0,N(Z579)+1,0))</f>
        <v/>
      </c>
    </row>
    <row r="581">
      <c r="H581" s="7" t="n"/>
      <c r="I581" s="7" t="n"/>
      <c r="J581" s="7" t="n"/>
      <c r="K581" s="7" t="n"/>
      <c r="M581" s="8" t="n"/>
      <c r="P581" s="9" t="n"/>
      <c r="Q581" s="10" t="n"/>
      <c r="R581" s="10" t="n"/>
      <c r="S581" s="11" t="n"/>
      <c r="U581" s="12">
        <f>IF(OR(H581="",I581=""),"",ROUND(Settings!$B$4/ABS(H581-I581),2))</f>
        <v/>
      </c>
      <c r="V581" s="13">
        <f>IF(M581="","",ROUND(M581*Settings!$B$4,2))</f>
        <v/>
      </c>
      <c r="W581" s="12">
        <f>IF(M581="","",SUM($M$2:M581))</f>
        <v/>
      </c>
      <c r="X581" s="12">
        <f>IF(M581="","",MAX(0,N(X580),W581))</f>
        <v/>
      </c>
      <c r="Y581" s="12">
        <f>IF(M581="","",X581-W581)</f>
        <v/>
      </c>
      <c r="Z581" s="12">
        <f>IF(M581="","",IF(M581&lt;0,N(Z580)+1,0))</f>
        <v/>
      </c>
    </row>
    <row r="582">
      <c r="H582" s="7" t="n"/>
      <c r="I582" s="7" t="n"/>
      <c r="J582" s="7" t="n"/>
      <c r="K582" s="7" t="n"/>
      <c r="M582" s="8" t="n"/>
      <c r="P582" s="9" t="n"/>
      <c r="Q582" s="10" t="n"/>
      <c r="R582" s="10" t="n"/>
      <c r="S582" s="11" t="n"/>
      <c r="U582" s="12">
        <f>IF(OR(H582="",I582=""),"",ROUND(Settings!$B$4/ABS(H582-I582),2))</f>
        <v/>
      </c>
      <c r="V582" s="13">
        <f>IF(M582="","",ROUND(M582*Settings!$B$4,2))</f>
        <v/>
      </c>
      <c r="W582" s="12">
        <f>IF(M582="","",SUM($M$2:M582))</f>
        <v/>
      </c>
      <c r="X582" s="12">
        <f>IF(M582="","",MAX(0,N(X581),W582))</f>
        <v/>
      </c>
      <c r="Y582" s="12">
        <f>IF(M582="","",X582-W582)</f>
        <v/>
      </c>
      <c r="Z582" s="12">
        <f>IF(M582="","",IF(M582&lt;0,N(Z581)+1,0))</f>
        <v/>
      </c>
    </row>
    <row r="583">
      <c r="H583" s="7" t="n"/>
      <c r="I583" s="7" t="n"/>
      <c r="J583" s="7" t="n"/>
      <c r="K583" s="7" t="n"/>
      <c r="M583" s="8" t="n"/>
      <c r="P583" s="9" t="n"/>
      <c r="Q583" s="10" t="n"/>
      <c r="R583" s="10" t="n"/>
      <c r="S583" s="11" t="n"/>
      <c r="U583" s="12">
        <f>IF(OR(H583="",I583=""),"",ROUND(Settings!$B$4/ABS(H583-I583),2))</f>
        <v/>
      </c>
      <c r="V583" s="13">
        <f>IF(M583="","",ROUND(M583*Settings!$B$4,2))</f>
        <v/>
      </c>
      <c r="W583" s="12">
        <f>IF(M583="","",SUM($M$2:M583))</f>
        <v/>
      </c>
      <c r="X583" s="12">
        <f>IF(M583="","",MAX(0,N(X582),W583))</f>
        <v/>
      </c>
      <c r="Y583" s="12">
        <f>IF(M583="","",X583-W583)</f>
        <v/>
      </c>
      <c r="Z583" s="12">
        <f>IF(M583="","",IF(M583&lt;0,N(Z582)+1,0))</f>
        <v/>
      </c>
    </row>
    <row r="584">
      <c r="H584" s="7" t="n"/>
      <c r="I584" s="7" t="n"/>
      <c r="J584" s="7" t="n"/>
      <c r="K584" s="7" t="n"/>
      <c r="M584" s="8" t="n"/>
      <c r="P584" s="9" t="n"/>
      <c r="Q584" s="10" t="n"/>
      <c r="R584" s="10" t="n"/>
      <c r="S584" s="11" t="n"/>
      <c r="U584" s="12">
        <f>IF(OR(H584="",I584=""),"",ROUND(Settings!$B$4/ABS(H584-I584),2))</f>
        <v/>
      </c>
      <c r="V584" s="13">
        <f>IF(M584="","",ROUND(M584*Settings!$B$4,2))</f>
        <v/>
      </c>
      <c r="W584" s="12">
        <f>IF(M584="","",SUM($M$2:M584))</f>
        <v/>
      </c>
      <c r="X584" s="12">
        <f>IF(M584="","",MAX(0,N(X583),W584))</f>
        <v/>
      </c>
      <c r="Y584" s="12">
        <f>IF(M584="","",X584-W584)</f>
        <v/>
      </c>
      <c r="Z584" s="12">
        <f>IF(M584="","",IF(M584&lt;0,N(Z583)+1,0))</f>
        <v/>
      </c>
    </row>
    <row r="585">
      <c r="H585" s="7" t="n"/>
      <c r="I585" s="7" t="n"/>
      <c r="J585" s="7" t="n"/>
      <c r="K585" s="7" t="n"/>
      <c r="M585" s="8" t="n"/>
      <c r="P585" s="9" t="n"/>
      <c r="Q585" s="10" t="n"/>
      <c r="R585" s="10" t="n"/>
      <c r="S585" s="11" t="n"/>
      <c r="U585" s="12">
        <f>IF(OR(H585="",I585=""),"",ROUND(Settings!$B$4/ABS(H585-I585),2))</f>
        <v/>
      </c>
      <c r="V585" s="13">
        <f>IF(M585="","",ROUND(M585*Settings!$B$4,2))</f>
        <v/>
      </c>
      <c r="W585" s="12">
        <f>IF(M585="","",SUM($M$2:M585))</f>
        <v/>
      </c>
      <c r="X585" s="12">
        <f>IF(M585="","",MAX(0,N(X584),W585))</f>
        <v/>
      </c>
      <c r="Y585" s="12">
        <f>IF(M585="","",X585-W585)</f>
        <v/>
      </c>
      <c r="Z585" s="12">
        <f>IF(M585="","",IF(M585&lt;0,N(Z584)+1,0))</f>
        <v/>
      </c>
    </row>
    <row r="586">
      <c r="H586" s="7" t="n"/>
      <c r="I586" s="7" t="n"/>
      <c r="J586" s="7" t="n"/>
      <c r="K586" s="7" t="n"/>
      <c r="M586" s="8" t="n"/>
      <c r="P586" s="9" t="n"/>
      <c r="Q586" s="10" t="n"/>
      <c r="R586" s="10" t="n"/>
      <c r="S586" s="11" t="n"/>
      <c r="U586" s="12">
        <f>IF(OR(H586="",I586=""),"",ROUND(Settings!$B$4/ABS(H586-I586),2))</f>
        <v/>
      </c>
      <c r="V586" s="13">
        <f>IF(M586="","",ROUND(M586*Settings!$B$4,2))</f>
        <v/>
      </c>
      <c r="W586" s="12">
        <f>IF(M586="","",SUM($M$2:M586))</f>
        <v/>
      </c>
      <c r="X586" s="12">
        <f>IF(M586="","",MAX(0,N(X585),W586))</f>
        <v/>
      </c>
      <c r="Y586" s="12">
        <f>IF(M586="","",X586-W586)</f>
        <v/>
      </c>
      <c r="Z586" s="12">
        <f>IF(M586="","",IF(M586&lt;0,N(Z585)+1,0))</f>
        <v/>
      </c>
    </row>
    <row r="587">
      <c r="H587" s="7" t="n"/>
      <c r="I587" s="7" t="n"/>
      <c r="J587" s="7" t="n"/>
      <c r="K587" s="7" t="n"/>
      <c r="M587" s="8" t="n"/>
      <c r="P587" s="9" t="n"/>
      <c r="Q587" s="10" t="n"/>
      <c r="R587" s="10" t="n"/>
      <c r="S587" s="11" t="n"/>
      <c r="U587" s="12">
        <f>IF(OR(H587="",I587=""),"",ROUND(Settings!$B$4/ABS(H587-I587),2))</f>
        <v/>
      </c>
      <c r="V587" s="13">
        <f>IF(M587="","",ROUND(M587*Settings!$B$4,2))</f>
        <v/>
      </c>
      <c r="W587" s="12">
        <f>IF(M587="","",SUM($M$2:M587))</f>
        <v/>
      </c>
      <c r="X587" s="12">
        <f>IF(M587="","",MAX(0,N(X586),W587))</f>
        <v/>
      </c>
      <c r="Y587" s="12">
        <f>IF(M587="","",X587-W587)</f>
        <v/>
      </c>
      <c r="Z587" s="12">
        <f>IF(M587="","",IF(M587&lt;0,N(Z586)+1,0))</f>
        <v/>
      </c>
    </row>
    <row r="588">
      <c r="H588" s="7" t="n"/>
      <c r="I588" s="7" t="n"/>
      <c r="J588" s="7" t="n"/>
      <c r="K588" s="7" t="n"/>
      <c r="M588" s="8" t="n"/>
      <c r="P588" s="9" t="n"/>
      <c r="Q588" s="10" t="n"/>
      <c r="R588" s="10" t="n"/>
      <c r="S588" s="11" t="n"/>
      <c r="U588" s="12">
        <f>IF(OR(H588="",I588=""),"",ROUND(Settings!$B$4/ABS(H588-I588),2))</f>
        <v/>
      </c>
      <c r="V588" s="13">
        <f>IF(M588="","",ROUND(M588*Settings!$B$4,2))</f>
        <v/>
      </c>
      <c r="W588" s="12">
        <f>IF(M588="","",SUM($M$2:M588))</f>
        <v/>
      </c>
      <c r="X588" s="12">
        <f>IF(M588="","",MAX(0,N(X587),W588))</f>
        <v/>
      </c>
      <c r="Y588" s="12">
        <f>IF(M588="","",X588-W588)</f>
        <v/>
      </c>
      <c r="Z588" s="12">
        <f>IF(M588="","",IF(M588&lt;0,N(Z587)+1,0))</f>
        <v/>
      </c>
    </row>
    <row r="589">
      <c r="H589" s="7" t="n"/>
      <c r="I589" s="7" t="n"/>
      <c r="J589" s="7" t="n"/>
      <c r="K589" s="7" t="n"/>
      <c r="M589" s="8" t="n"/>
      <c r="P589" s="9" t="n"/>
      <c r="Q589" s="10" t="n"/>
      <c r="R589" s="10" t="n"/>
      <c r="S589" s="11" t="n"/>
      <c r="U589" s="12">
        <f>IF(OR(H589="",I589=""),"",ROUND(Settings!$B$4/ABS(H589-I589),2))</f>
        <v/>
      </c>
      <c r="V589" s="13">
        <f>IF(M589="","",ROUND(M589*Settings!$B$4,2))</f>
        <v/>
      </c>
      <c r="W589" s="12">
        <f>IF(M589="","",SUM($M$2:M589))</f>
        <v/>
      </c>
      <c r="X589" s="12">
        <f>IF(M589="","",MAX(0,N(X588),W589))</f>
        <v/>
      </c>
      <c r="Y589" s="12">
        <f>IF(M589="","",X589-W589)</f>
        <v/>
      </c>
      <c r="Z589" s="12">
        <f>IF(M589="","",IF(M589&lt;0,N(Z588)+1,0))</f>
        <v/>
      </c>
    </row>
    <row r="590">
      <c r="H590" s="7" t="n"/>
      <c r="I590" s="7" t="n"/>
      <c r="J590" s="7" t="n"/>
      <c r="K590" s="7" t="n"/>
      <c r="M590" s="8" t="n"/>
      <c r="P590" s="9" t="n"/>
      <c r="Q590" s="10" t="n"/>
      <c r="R590" s="10" t="n"/>
      <c r="S590" s="11" t="n"/>
      <c r="U590" s="12">
        <f>IF(OR(H590="",I590=""),"",ROUND(Settings!$B$4/ABS(H590-I590),2))</f>
        <v/>
      </c>
      <c r="V590" s="13">
        <f>IF(M590="","",ROUND(M590*Settings!$B$4,2))</f>
        <v/>
      </c>
      <c r="W590" s="12">
        <f>IF(M590="","",SUM($M$2:M590))</f>
        <v/>
      </c>
      <c r="X590" s="12">
        <f>IF(M590="","",MAX(0,N(X589),W590))</f>
        <v/>
      </c>
      <c r="Y590" s="12">
        <f>IF(M590="","",X590-W590)</f>
        <v/>
      </c>
      <c r="Z590" s="12">
        <f>IF(M590="","",IF(M590&lt;0,N(Z589)+1,0))</f>
        <v/>
      </c>
    </row>
    <row r="591">
      <c r="H591" s="7" t="n"/>
      <c r="I591" s="7" t="n"/>
      <c r="J591" s="7" t="n"/>
      <c r="K591" s="7" t="n"/>
      <c r="M591" s="8" t="n"/>
      <c r="P591" s="9" t="n"/>
      <c r="Q591" s="10" t="n"/>
      <c r="R591" s="10" t="n"/>
      <c r="S591" s="11" t="n"/>
      <c r="U591" s="12">
        <f>IF(OR(H591="",I591=""),"",ROUND(Settings!$B$4/ABS(H591-I591),2))</f>
        <v/>
      </c>
      <c r="V591" s="13">
        <f>IF(M591="","",ROUND(M591*Settings!$B$4,2))</f>
        <v/>
      </c>
      <c r="W591" s="12">
        <f>IF(M591="","",SUM($M$2:M591))</f>
        <v/>
      </c>
      <c r="X591" s="12">
        <f>IF(M591="","",MAX(0,N(X590),W591))</f>
        <v/>
      </c>
      <c r="Y591" s="12">
        <f>IF(M591="","",X591-W591)</f>
        <v/>
      </c>
      <c r="Z591" s="12">
        <f>IF(M591="","",IF(M591&lt;0,N(Z590)+1,0))</f>
        <v/>
      </c>
    </row>
    <row r="592">
      <c r="H592" s="7" t="n"/>
      <c r="I592" s="7" t="n"/>
      <c r="J592" s="7" t="n"/>
      <c r="K592" s="7" t="n"/>
      <c r="M592" s="8" t="n"/>
      <c r="P592" s="9" t="n"/>
      <c r="Q592" s="10" t="n"/>
      <c r="R592" s="10" t="n"/>
      <c r="S592" s="11" t="n"/>
      <c r="U592" s="12">
        <f>IF(OR(H592="",I592=""),"",ROUND(Settings!$B$4/ABS(H592-I592),2))</f>
        <v/>
      </c>
      <c r="V592" s="13">
        <f>IF(M592="","",ROUND(M592*Settings!$B$4,2))</f>
        <v/>
      </c>
      <c r="W592" s="12">
        <f>IF(M592="","",SUM($M$2:M592))</f>
        <v/>
      </c>
      <c r="X592" s="12">
        <f>IF(M592="","",MAX(0,N(X591),W592))</f>
        <v/>
      </c>
      <c r="Y592" s="12">
        <f>IF(M592="","",X592-W592)</f>
        <v/>
      </c>
      <c r="Z592" s="12">
        <f>IF(M592="","",IF(M592&lt;0,N(Z591)+1,0))</f>
        <v/>
      </c>
    </row>
    <row r="593">
      <c r="H593" s="7" t="n"/>
      <c r="I593" s="7" t="n"/>
      <c r="J593" s="7" t="n"/>
      <c r="K593" s="7" t="n"/>
      <c r="M593" s="8" t="n"/>
      <c r="P593" s="9" t="n"/>
      <c r="Q593" s="10" t="n"/>
      <c r="R593" s="10" t="n"/>
      <c r="S593" s="11" t="n"/>
      <c r="U593" s="12">
        <f>IF(OR(H593="",I593=""),"",ROUND(Settings!$B$4/ABS(H593-I593),2))</f>
        <v/>
      </c>
      <c r="V593" s="13">
        <f>IF(M593="","",ROUND(M593*Settings!$B$4,2))</f>
        <v/>
      </c>
      <c r="W593" s="12">
        <f>IF(M593="","",SUM($M$2:M593))</f>
        <v/>
      </c>
      <c r="X593" s="12">
        <f>IF(M593="","",MAX(0,N(X592),W593))</f>
        <v/>
      </c>
      <c r="Y593" s="12">
        <f>IF(M593="","",X593-W593)</f>
        <v/>
      </c>
      <c r="Z593" s="12">
        <f>IF(M593="","",IF(M593&lt;0,N(Z592)+1,0))</f>
        <v/>
      </c>
    </row>
    <row r="594">
      <c r="H594" s="7" t="n"/>
      <c r="I594" s="7" t="n"/>
      <c r="J594" s="7" t="n"/>
      <c r="K594" s="7" t="n"/>
      <c r="M594" s="8" t="n"/>
      <c r="P594" s="9" t="n"/>
      <c r="Q594" s="10" t="n"/>
      <c r="R594" s="10" t="n"/>
      <c r="S594" s="11" t="n"/>
      <c r="U594" s="12">
        <f>IF(OR(H594="",I594=""),"",ROUND(Settings!$B$4/ABS(H594-I594),2))</f>
        <v/>
      </c>
      <c r="V594" s="13">
        <f>IF(M594="","",ROUND(M594*Settings!$B$4,2))</f>
        <v/>
      </c>
      <c r="W594" s="12">
        <f>IF(M594="","",SUM($M$2:M594))</f>
        <v/>
      </c>
      <c r="X594" s="12">
        <f>IF(M594="","",MAX(0,N(X593),W594))</f>
        <v/>
      </c>
      <c r="Y594" s="12">
        <f>IF(M594="","",X594-W594)</f>
        <v/>
      </c>
      <c r="Z594" s="12">
        <f>IF(M594="","",IF(M594&lt;0,N(Z593)+1,0))</f>
        <v/>
      </c>
    </row>
    <row r="595">
      <c r="H595" s="7" t="n"/>
      <c r="I595" s="7" t="n"/>
      <c r="J595" s="7" t="n"/>
      <c r="K595" s="7" t="n"/>
      <c r="M595" s="8" t="n"/>
      <c r="P595" s="9" t="n"/>
      <c r="Q595" s="10" t="n"/>
      <c r="R595" s="10" t="n"/>
      <c r="S595" s="11" t="n"/>
      <c r="U595" s="12">
        <f>IF(OR(H595="",I595=""),"",ROUND(Settings!$B$4/ABS(H595-I595),2))</f>
        <v/>
      </c>
      <c r="V595" s="13">
        <f>IF(M595="","",ROUND(M595*Settings!$B$4,2))</f>
        <v/>
      </c>
      <c r="W595" s="12">
        <f>IF(M595="","",SUM($M$2:M595))</f>
        <v/>
      </c>
      <c r="X595" s="12">
        <f>IF(M595="","",MAX(0,N(X594),W595))</f>
        <v/>
      </c>
      <c r="Y595" s="12">
        <f>IF(M595="","",X595-W595)</f>
        <v/>
      </c>
      <c r="Z595" s="12">
        <f>IF(M595="","",IF(M595&lt;0,N(Z594)+1,0))</f>
        <v/>
      </c>
    </row>
    <row r="596">
      <c r="H596" s="7" t="n"/>
      <c r="I596" s="7" t="n"/>
      <c r="J596" s="7" t="n"/>
      <c r="K596" s="7" t="n"/>
      <c r="M596" s="8" t="n"/>
      <c r="P596" s="9" t="n"/>
      <c r="Q596" s="10" t="n"/>
      <c r="R596" s="10" t="n"/>
      <c r="S596" s="11" t="n"/>
      <c r="U596" s="12">
        <f>IF(OR(H596="",I596=""),"",ROUND(Settings!$B$4/ABS(H596-I596),2))</f>
        <v/>
      </c>
      <c r="V596" s="13">
        <f>IF(M596="","",ROUND(M596*Settings!$B$4,2))</f>
        <v/>
      </c>
      <c r="W596" s="12">
        <f>IF(M596="","",SUM($M$2:M596))</f>
        <v/>
      </c>
      <c r="X596" s="12">
        <f>IF(M596="","",MAX(0,N(X595),W596))</f>
        <v/>
      </c>
      <c r="Y596" s="12">
        <f>IF(M596="","",X596-W596)</f>
        <v/>
      </c>
      <c r="Z596" s="12">
        <f>IF(M596="","",IF(M596&lt;0,N(Z595)+1,0))</f>
        <v/>
      </c>
    </row>
    <row r="597">
      <c r="H597" s="7" t="n"/>
      <c r="I597" s="7" t="n"/>
      <c r="J597" s="7" t="n"/>
      <c r="K597" s="7" t="n"/>
      <c r="M597" s="8" t="n"/>
      <c r="P597" s="9" t="n"/>
      <c r="Q597" s="10" t="n"/>
      <c r="R597" s="10" t="n"/>
      <c r="S597" s="11" t="n"/>
      <c r="U597" s="12">
        <f>IF(OR(H597="",I597=""),"",ROUND(Settings!$B$4/ABS(H597-I597),2))</f>
        <v/>
      </c>
      <c r="V597" s="13">
        <f>IF(M597="","",ROUND(M597*Settings!$B$4,2))</f>
        <v/>
      </c>
      <c r="W597" s="12">
        <f>IF(M597="","",SUM($M$2:M597))</f>
        <v/>
      </c>
      <c r="X597" s="12">
        <f>IF(M597="","",MAX(0,N(X596),W597))</f>
        <v/>
      </c>
      <c r="Y597" s="12">
        <f>IF(M597="","",X597-W597)</f>
        <v/>
      </c>
      <c r="Z597" s="12">
        <f>IF(M597="","",IF(M597&lt;0,N(Z596)+1,0))</f>
        <v/>
      </c>
    </row>
    <row r="598">
      <c r="H598" s="7" t="n"/>
      <c r="I598" s="7" t="n"/>
      <c r="J598" s="7" t="n"/>
      <c r="K598" s="7" t="n"/>
      <c r="M598" s="8" t="n"/>
      <c r="P598" s="9" t="n"/>
      <c r="Q598" s="10" t="n"/>
      <c r="R598" s="10" t="n"/>
      <c r="S598" s="11" t="n"/>
      <c r="U598" s="12">
        <f>IF(OR(H598="",I598=""),"",ROUND(Settings!$B$4/ABS(H598-I598),2))</f>
        <v/>
      </c>
      <c r="V598" s="13">
        <f>IF(M598="","",ROUND(M598*Settings!$B$4,2))</f>
        <v/>
      </c>
      <c r="W598" s="12">
        <f>IF(M598="","",SUM($M$2:M598))</f>
        <v/>
      </c>
      <c r="X598" s="12">
        <f>IF(M598="","",MAX(0,N(X597),W598))</f>
        <v/>
      </c>
      <c r="Y598" s="12">
        <f>IF(M598="","",X598-W598)</f>
        <v/>
      </c>
      <c r="Z598" s="12">
        <f>IF(M598="","",IF(M598&lt;0,N(Z597)+1,0))</f>
        <v/>
      </c>
    </row>
    <row r="599">
      <c r="H599" s="7" t="n"/>
      <c r="I599" s="7" t="n"/>
      <c r="J599" s="7" t="n"/>
      <c r="K599" s="7" t="n"/>
      <c r="M599" s="8" t="n"/>
      <c r="P599" s="9" t="n"/>
      <c r="Q599" s="10" t="n"/>
      <c r="R599" s="10" t="n"/>
      <c r="S599" s="11" t="n"/>
      <c r="U599" s="12">
        <f>IF(OR(H599="",I599=""),"",ROUND(Settings!$B$4/ABS(H599-I599),2))</f>
        <v/>
      </c>
      <c r="V599" s="13">
        <f>IF(M599="","",ROUND(M599*Settings!$B$4,2))</f>
        <v/>
      </c>
      <c r="W599" s="12">
        <f>IF(M599="","",SUM($M$2:M599))</f>
        <v/>
      </c>
      <c r="X599" s="12">
        <f>IF(M599="","",MAX(0,N(X598),W599))</f>
        <v/>
      </c>
      <c r="Y599" s="12">
        <f>IF(M599="","",X599-W599)</f>
        <v/>
      </c>
      <c r="Z599" s="12">
        <f>IF(M599="","",IF(M599&lt;0,N(Z598)+1,0))</f>
        <v/>
      </c>
    </row>
    <row r="600">
      <c r="H600" s="7" t="n"/>
      <c r="I600" s="7" t="n"/>
      <c r="J600" s="7" t="n"/>
      <c r="K600" s="7" t="n"/>
      <c r="M600" s="8" t="n"/>
      <c r="P600" s="9" t="n"/>
      <c r="Q600" s="10" t="n"/>
      <c r="R600" s="10" t="n"/>
      <c r="S600" s="11" t="n"/>
      <c r="U600" s="12">
        <f>IF(OR(H600="",I600=""),"",ROUND(Settings!$B$4/ABS(H600-I600),2))</f>
        <v/>
      </c>
      <c r="V600" s="13">
        <f>IF(M600="","",ROUND(M600*Settings!$B$4,2))</f>
        <v/>
      </c>
      <c r="W600" s="12">
        <f>IF(M600="","",SUM($M$2:M600))</f>
        <v/>
      </c>
      <c r="X600" s="12">
        <f>IF(M600="","",MAX(0,N(X599),W600))</f>
        <v/>
      </c>
      <c r="Y600" s="12">
        <f>IF(M600="","",X600-W600)</f>
        <v/>
      </c>
      <c r="Z600" s="12">
        <f>IF(M600="","",IF(M600&lt;0,N(Z599)+1,0))</f>
        <v/>
      </c>
    </row>
    <row r="601">
      <c r="H601" s="7" t="n"/>
      <c r="I601" s="7" t="n"/>
      <c r="J601" s="7" t="n"/>
      <c r="K601" s="7" t="n"/>
      <c r="M601" s="8" t="n"/>
      <c r="P601" s="9" t="n"/>
      <c r="Q601" s="10" t="n"/>
      <c r="R601" s="10" t="n"/>
      <c r="S601" s="11" t="n"/>
      <c r="U601" s="12">
        <f>IF(OR(H601="",I601=""),"",ROUND(Settings!$B$4/ABS(H601-I601),2))</f>
        <v/>
      </c>
      <c r="V601" s="13">
        <f>IF(M601="","",ROUND(M601*Settings!$B$4,2))</f>
        <v/>
      </c>
      <c r="W601" s="12">
        <f>IF(M601="","",SUM($M$2:M601))</f>
        <v/>
      </c>
      <c r="X601" s="12">
        <f>IF(M601="","",MAX(0,N(X600),W601))</f>
        <v/>
      </c>
      <c r="Y601" s="12">
        <f>IF(M601="","",X601-W601)</f>
        <v/>
      </c>
      <c r="Z601" s="12">
        <f>IF(M601="","",IF(M601&lt;0,N(Z600)+1,0))</f>
        <v/>
      </c>
    </row>
    <row r="602">
      <c r="H602" s="7" t="n"/>
      <c r="I602" s="7" t="n"/>
      <c r="J602" s="7" t="n"/>
      <c r="K602" s="7" t="n"/>
      <c r="M602" s="8" t="n"/>
      <c r="P602" s="9" t="n"/>
      <c r="Q602" s="10" t="n"/>
      <c r="R602" s="10" t="n"/>
      <c r="S602" s="11" t="n"/>
      <c r="U602" s="12">
        <f>IF(OR(H602="",I602=""),"",ROUND(Settings!$B$4/ABS(H602-I602),2))</f>
        <v/>
      </c>
      <c r="V602" s="13">
        <f>IF(M602="","",ROUND(M602*Settings!$B$4,2))</f>
        <v/>
      </c>
      <c r="W602" s="12">
        <f>IF(M602="","",SUM($M$2:M602))</f>
        <v/>
      </c>
      <c r="X602" s="12">
        <f>IF(M602="","",MAX(0,N(X601),W602))</f>
        <v/>
      </c>
      <c r="Y602" s="12">
        <f>IF(M602="","",X602-W602)</f>
        <v/>
      </c>
      <c r="Z602" s="12">
        <f>IF(M602="","",IF(M602&lt;0,N(Z601)+1,0))</f>
        <v/>
      </c>
    </row>
    <row r="603">
      <c r="H603" s="7" t="n"/>
      <c r="I603" s="7" t="n"/>
      <c r="J603" s="7" t="n"/>
      <c r="K603" s="7" t="n"/>
      <c r="M603" s="8" t="n"/>
      <c r="P603" s="9" t="n"/>
      <c r="Q603" s="10" t="n"/>
      <c r="R603" s="10" t="n"/>
      <c r="S603" s="11" t="n"/>
      <c r="U603" s="12">
        <f>IF(OR(H603="",I603=""),"",ROUND(Settings!$B$4/ABS(H603-I603),2))</f>
        <v/>
      </c>
      <c r="V603" s="13">
        <f>IF(M603="","",ROUND(M603*Settings!$B$4,2))</f>
        <v/>
      </c>
      <c r="W603" s="12">
        <f>IF(M603="","",SUM($M$2:M603))</f>
        <v/>
      </c>
      <c r="X603" s="12">
        <f>IF(M603="","",MAX(0,N(X602),W603))</f>
        <v/>
      </c>
      <c r="Y603" s="12">
        <f>IF(M603="","",X603-W603)</f>
        <v/>
      </c>
      <c r="Z603" s="12">
        <f>IF(M603="","",IF(M603&lt;0,N(Z602)+1,0))</f>
        <v/>
      </c>
    </row>
    <row r="604">
      <c r="H604" s="7" t="n"/>
      <c r="I604" s="7" t="n"/>
      <c r="J604" s="7" t="n"/>
      <c r="K604" s="7" t="n"/>
      <c r="M604" s="8" t="n"/>
      <c r="P604" s="9" t="n"/>
      <c r="Q604" s="10" t="n"/>
      <c r="R604" s="10" t="n"/>
      <c r="S604" s="11" t="n"/>
      <c r="U604" s="12">
        <f>IF(OR(H604="",I604=""),"",ROUND(Settings!$B$4/ABS(H604-I604),2))</f>
        <v/>
      </c>
      <c r="V604" s="13">
        <f>IF(M604="","",ROUND(M604*Settings!$B$4,2))</f>
        <v/>
      </c>
      <c r="W604" s="12">
        <f>IF(M604="","",SUM($M$2:M604))</f>
        <v/>
      </c>
      <c r="X604" s="12">
        <f>IF(M604="","",MAX(0,N(X603),W604))</f>
        <v/>
      </c>
      <c r="Y604" s="12">
        <f>IF(M604="","",X604-W604)</f>
        <v/>
      </c>
      <c r="Z604" s="12">
        <f>IF(M604="","",IF(M604&lt;0,N(Z603)+1,0))</f>
        <v/>
      </c>
    </row>
    <row r="605">
      <c r="H605" s="7" t="n"/>
      <c r="I605" s="7" t="n"/>
      <c r="J605" s="7" t="n"/>
      <c r="K605" s="7" t="n"/>
      <c r="M605" s="8" t="n"/>
      <c r="P605" s="9" t="n"/>
      <c r="Q605" s="10" t="n"/>
      <c r="R605" s="10" t="n"/>
      <c r="S605" s="11" t="n"/>
      <c r="U605" s="12">
        <f>IF(OR(H605="",I605=""),"",ROUND(Settings!$B$4/ABS(H605-I605),2))</f>
        <v/>
      </c>
      <c r="V605" s="13">
        <f>IF(M605="","",ROUND(M605*Settings!$B$4,2))</f>
        <v/>
      </c>
      <c r="W605" s="12">
        <f>IF(M605="","",SUM($M$2:M605))</f>
        <v/>
      </c>
      <c r="X605" s="12">
        <f>IF(M605="","",MAX(0,N(X604),W605))</f>
        <v/>
      </c>
      <c r="Y605" s="12">
        <f>IF(M605="","",X605-W605)</f>
        <v/>
      </c>
      <c r="Z605" s="12">
        <f>IF(M605="","",IF(M605&lt;0,N(Z604)+1,0))</f>
        <v/>
      </c>
    </row>
    <row r="606">
      <c r="H606" s="7" t="n"/>
      <c r="I606" s="7" t="n"/>
      <c r="J606" s="7" t="n"/>
      <c r="K606" s="7" t="n"/>
      <c r="M606" s="8" t="n"/>
      <c r="P606" s="9" t="n"/>
      <c r="Q606" s="10" t="n"/>
      <c r="R606" s="10" t="n"/>
      <c r="S606" s="11" t="n"/>
      <c r="U606" s="12">
        <f>IF(OR(H606="",I606=""),"",ROUND(Settings!$B$4/ABS(H606-I606),2))</f>
        <v/>
      </c>
      <c r="V606" s="13">
        <f>IF(M606="","",ROUND(M606*Settings!$B$4,2))</f>
        <v/>
      </c>
      <c r="W606" s="12">
        <f>IF(M606="","",SUM($M$2:M606))</f>
        <v/>
      </c>
      <c r="X606" s="12">
        <f>IF(M606="","",MAX(0,N(X605),W606))</f>
        <v/>
      </c>
      <c r="Y606" s="12">
        <f>IF(M606="","",X606-W606)</f>
        <v/>
      </c>
      <c r="Z606" s="12">
        <f>IF(M606="","",IF(M606&lt;0,N(Z605)+1,0))</f>
        <v/>
      </c>
    </row>
    <row r="607">
      <c r="H607" s="7" t="n"/>
      <c r="I607" s="7" t="n"/>
      <c r="J607" s="7" t="n"/>
      <c r="K607" s="7" t="n"/>
      <c r="M607" s="8" t="n"/>
      <c r="P607" s="9" t="n"/>
      <c r="Q607" s="10" t="n"/>
      <c r="R607" s="10" t="n"/>
      <c r="S607" s="11" t="n"/>
      <c r="U607" s="12">
        <f>IF(OR(H607="",I607=""),"",ROUND(Settings!$B$4/ABS(H607-I607),2))</f>
        <v/>
      </c>
      <c r="V607" s="13">
        <f>IF(M607="","",ROUND(M607*Settings!$B$4,2))</f>
        <v/>
      </c>
      <c r="W607" s="12">
        <f>IF(M607="","",SUM($M$2:M607))</f>
        <v/>
      </c>
      <c r="X607" s="12">
        <f>IF(M607="","",MAX(0,N(X606),W607))</f>
        <v/>
      </c>
      <c r="Y607" s="12">
        <f>IF(M607="","",X607-W607)</f>
        <v/>
      </c>
      <c r="Z607" s="12">
        <f>IF(M607="","",IF(M607&lt;0,N(Z606)+1,0))</f>
        <v/>
      </c>
    </row>
    <row r="608">
      <c r="H608" s="7" t="n"/>
      <c r="I608" s="7" t="n"/>
      <c r="J608" s="7" t="n"/>
      <c r="K608" s="7" t="n"/>
      <c r="M608" s="8" t="n"/>
      <c r="P608" s="9" t="n"/>
      <c r="Q608" s="10" t="n"/>
      <c r="R608" s="10" t="n"/>
      <c r="S608" s="11" t="n"/>
      <c r="U608" s="12">
        <f>IF(OR(H608="",I608=""),"",ROUND(Settings!$B$4/ABS(H608-I608),2))</f>
        <v/>
      </c>
      <c r="V608" s="13">
        <f>IF(M608="","",ROUND(M608*Settings!$B$4,2))</f>
        <v/>
      </c>
      <c r="W608" s="12">
        <f>IF(M608="","",SUM($M$2:M608))</f>
        <v/>
      </c>
      <c r="X608" s="12">
        <f>IF(M608="","",MAX(0,N(X607),W608))</f>
        <v/>
      </c>
      <c r="Y608" s="12">
        <f>IF(M608="","",X608-W608)</f>
        <v/>
      </c>
      <c r="Z608" s="12">
        <f>IF(M608="","",IF(M608&lt;0,N(Z607)+1,0))</f>
        <v/>
      </c>
    </row>
    <row r="609">
      <c r="H609" s="7" t="n"/>
      <c r="I609" s="7" t="n"/>
      <c r="J609" s="7" t="n"/>
      <c r="K609" s="7" t="n"/>
      <c r="M609" s="8" t="n"/>
      <c r="P609" s="9" t="n"/>
      <c r="Q609" s="10" t="n"/>
      <c r="R609" s="10" t="n"/>
      <c r="S609" s="11" t="n"/>
      <c r="U609" s="12">
        <f>IF(OR(H609="",I609=""),"",ROUND(Settings!$B$4/ABS(H609-I609),2))</f>
        <v/>
      </c>
      <c r="V609" s="13">
        <f>IF(M609="","",ROUND(M609*Settings!$B$4,2))</f>
        <v/>
      </c>
      <c r="W609" s="12">
        <f>IF(M609="","",SUM($M$2:M609))</f>
        <v/>
      </c>
      <c r="X609" s="12">
        <f>IF(M609="","",MAX(0,N(X608),W609))</f>
        <v/>
      </c>
      <c r="Y609" s="12">
        <f>IF(M609="","",X609-W609)</f>
        <v/>
      </c>
      <c r="Z609" s="12">
        <f>IF(M609="","",IF(M609&lt;0,N(Z608)+1,0))</f>
        <v/>
      </c>
    </row>
    <row r="610">
      <c r="H610" s="7" t="n"/>
      <c r="I610" s="7" t="n"/>
      <c r="J610" s="7" t="n"/>
      <c r="K610" s="7" t="n"/>
      <c r="M610" s="8" t="n"/>
      <c r="P610" s="9" t="n"/>
      <c r="Q610" s="10" t="n"/>
      <c r="R610" s="10" t="n"/>
      <c r="S610" s="11" t="n"/>
      <c r="U610" s="12">
        <f>IF(OR(H610="",I610=""),"",ROUND(Settings!$B$4/ABS(H610-I610),2))</f>
        <v/>
      </c>
      <c r="V610" s="13">
        <f>IF(M610="","",ROUND(M610*Settings!$B$4,2))</f>
        <v/>
      </c>
      <c r="W610" s="12">
        <f>IF(M610="","",SUM($M$2:M610))</f>
        <v/>
      </c>
      <c r="X610" s="12">
        <f>IF(M610="","",MAX(0,N(X609),W610))</f>
        <v/>
      </c>
      <c r="Y610" s="12">
        <f>IF(M610="","",X610-W610)</f>
        <v/>
      </c>
      <c r="Z610" s="12">
        <f>IF(M610="","",IF(M610&lt;0,N(Z609)+1,0))</f>
        <v/>
      </c>
    </row>
    <row r="611">
      <c r="H611" s="7" t="n"/>
      <c r="I611" s="7" t="n"/>
      <c r="J611" s="7" t="n"/>
      <c r="K611" s="7" t="n"/>
      <c r="M611" s="8" t="n"/>
      <c r="P611" s="9" t="n"/>
      <c r="Q611" s="10" t="n"/>
      <c r="R611" s="10" t="n"/>
      <c r="S611" s="11" t="n"/>
      <c r="U611" s="12">
        <f>IF(OR(H611="",I611=""),"",ROUND(Settings!$B$4/ABS(H611-I611),2))</f>
        <v/>
      </c>
      <c r="V611" s="13">
        <f>IF(M611="","",ROUND(M611*Settings!$B$4,2))</f>
        <v/>
      </c>
      <c r="W611" s="12">
        <f>IF(M611="","",SUM($M$2:M611))</f>
        <v/>
      </c>
      <c r="X611" s="12">
        <f>IF(M611="","",MAX(0,N(X610),W611))</f>
        <v/>
      </c>
      <c r="Y611" s="12">
        <f>IF(M611="","",X611-W611)</f>
        <v/>
      </c>
      <c r="Z611" s="12">
        <f>IF(M611="","",IF(M611&lt;0,N(Z610)+1,0))</f>
        <v/>
      </c>
    </row>
    <row r="612">
      <c r="H612" s="7" t="n"/>
      <c r="I612" s="7" t="n"/>
      <c r="J612" s="7" t="n"/>
      <c r="K612" s="7" t="n"/>
      <c r="M612" s="8" t="n"/>
      <c r="P612" s="9" t="n"/>
      <c r="Q612" s="10" t="n"/>
      <c r="R612" s="10" t="n"/>
      <c r="S612" s="11" t="n"/>
      <c r="U612" s="12">
        <f>IF(OR(H612="",I612=""),"",ROUND(Settings!$B$4/ABS(H612-I612),2))</f>
        <v/>
      </c>
      <c r="V612" s="13">
        <f>IF(M612="","",ROUND(M612*Settings!$B$4,2))</f>
        <v/>
      </c>
      <c r="W612" s="12">
        <f>IF(M612="","",SUM($M$2:M612))</f>
        <v/>
      </c>
      <c r="X612" s="12">
        <f>IF(M612="","",MAX(0,N(X611),W612))</f>
        <v/>
      </c>
      <c r="Y612" s="12">
        <f>IF(M612="","",X612-W612)</f>
        <v/>
      </c>
      <c r="Z612" s="12">
        <f>IF(M612="","",IF(M612&lt;0,N(Z611)+1,0))</f>
        <v/>
      </c>
    </row>
    <row r="613">
      <c r="H613" s="7" t="n"/>
      <c r="I613" s="7" t="n"/>
      <c r="J613" s="7" t="n"/>
      <c r="K613" s="7" t="n"/>
      <c r="M613" s="8" t="n"/>
      <c r="P613" s="9" t="n"/>
      <c r="Q613" s="10" t="n"/>
      <c r="R613" s="10" t="n"/>
      <c r="S613" s="11" t="n"/>
      <c r="U613" s="12">
        <f>IF(OR(H613="",I613=""),"",ROUND(Settings!$B$4/ABS(H613-I613),2))</f>
        <v/>
      </c>
      <c r="V613" s="13">
        <f>IF(M613="","",ROUND(M613*Settings!$B$4,2))</f>
        <v/>
      </c>
      <c r="W613" s="12">
        <f>IF(M613="","",SUM($M$2:M613))</f>
        <v/>
      </c>
      <c r="X613" s="12">
        <f>IF(M613="","",MAX(0,N(X612),W613))</f>
        <v/>
      </c>
      <c r="Y613" s="12">
        <f>IF(M613="","",X613-W613)</f>
        <v/>
      </c>
      <c r="Z613" s="12">
        <f>IF(M613="","",IF(M613&lt;0,N(Z612)+1,0))</f>
        <v/>
      </c>
    </row>
    <row r="614">
      <c r="H614" s="7" t="n"/>
      <c r="I614" s="7" t="n"/>
      <c r="J614" s="7" t="n"/>
      <c r="K614" s="7" t="n"/>
      <c r="M614" s="8" t="n"/>
      <c r="P614" s="9" t="n"/>
      <c r="Q614" s="10" t="n"/>
      <c r="R614" s="10" t="n"/>
      <c r="S614" s="11" t="n"/>
      <c r="U614" s="12">
        <f>IF(OR(H614="",I614=""),"",ROUND(Settings!$B$4/ABS(H614-I614),2))</f>
        <v/>
      </c>
      <c r="V614" s="13">
        <f>IF(M614="","",ROUND(M614*Settings!$B$4,2))</f>
        <v/>
      </c>
      <c r="W614" s="12">
        <f>IF(M614="","",SUM($M$2:M614))</f>
        <v/>
      </c>
      <c r="X614" s="12">
        <f>IF(M614="","",MAX(0,N(X613),W614))</f>
        <v/>
      </c>
      <c r="Y614" s="12">
        <f>IF(M614="","",X614-W614)</f>
        <v/>
      </c>
      <c r="Z614" s="12">
        <f>IF(M614="","",IF(M614&lt;0,N(Z613)+1,0))</f>
        <v/>
      </c>
    </row>
    <row r="615">
      <c r="H615" s="7" t="n"/>
      <c r="I615" s="7" t="n"/>
      <c r="J615" s="7" t="n"/>
      <c r="K615" s="7" t="n"/>
      <c r="M615" s="8" t="n"/>
      <c r="P615" s="9" t="n"/>
      <c r="Q615" s="10" t="n"/>
      <c r="R615" s="10" t="n"/>
      <c r="S615" s="11" t="n"/>
      <c r="U615" s="12">
        <f>IF(OR(H615="",I615=""),"",ROUND(Settings!$B$4/ABS(H615-I615),2))</f>
        <v/>
      </c>
      <c r="V615" s="13">
        <f>IF(M615="","",ROUND(M615*Settings!$B$4,2))</f>
        <v/>
      </c>
      <c r="W615" s="12">
        <f>IF(M615="","",SUM($M$2:M615))</f>
        <v/>
      </c>
      <c r="X615" s="12">
        <f>IF(M615="","",MAX(0,N(X614),W615))</f>
        <v/>
      </c>
      <c r="Y615" s="12">
        <f>IF(M615="","",X615-W615)</f>
        <v/>
      </c>
      <c r="Z615" s="12">
        <f>IF(M615="","",IF(M615&lt;0,N(Z614)+1,0))</f>
        <v/>
      </c>
    </row>
    <row r="616">
      <c r="H616" s="7" t="n"/>
      <c r="I616" s="7" t="n"/>
      <c r="J616" s="7" t="n"/>
      <c r="K616" s="7" t="n"/>
      <c r="M616" s="8" t="n"/>
      <c r="P616" s="9" t="n"/>
      <c r="Q616" s="10" t="n"/>
      <c r="R616" s="10" t="n"/>
      <c r="S616" s="11" t="n"/>
      <c r="U616" s="12">
        <f>IF(OR(H616="",I616=""),"",ROUND(Settings!$B$4/ABS(H616-I616),2))</f>
        <v/>
      </c>
      <c r="V616" s="13">
        <f>IF(M616="","",ROUND(M616*Settings!$B$4,2))</f>
        <v/>
      </c>
      <c r="W616" s="12">
        <f>IF(M616="","",SUM($M$2:M616))</f>
        <v/>
      </c>
      <c r="X616" s="12">
        <f>IF(M616="","",MAX(0,N(X615),W616))</f>
        <v/>
      </c>
      <c r="Y616" s="12">
        <f>IF(M616="","",X616-W616)</f>
        <v/>
      </c>
      <c r="Z616" s="12">
        <f>IF(M616="","",IF(M616&lt;0,N(Z615)+1,0))</f>
        <v/>
      </c>
    </row>
    <row r="617">
      <c r="H617" s="7" t="n"/>
      <c r="I617" s="7" t="n"/>
      <c r="J617" s="7" t="n"/>
      <c r="K617" s="7" t="n"/>
      <c r="M617" s="8" t="n"/>
      <c r="P617" s="9" t="n"/>
      <c r="Q617" s="10" t="n"/>
      <c r="R617" s="10" t="n"/>
      <c r="S617" s="11" t="n"/>
      <c r="U617" s="12">
        <f>IF(OR(H617="",I617=""),"",ROUND(Settings!$B$4/ABS(H617-I617),2))</f>
        <v/>
      </c>
      <c r="V617" s="13">
        <f>IF(M617="","",ROUND(M617*Settings!$B$4,2))</f>
        <v/>
      </c>
      <c r="W617" s="12">
        <f>IF(M617="","",SUM($M$2:M617))</f>
        <v/>
      </c>
      <c r="X617" s="12">
        <f>IF(M617="","",MAX(0,N(X616),W617))</f>
        <v/>
      </c>
      <c r="Y617" s="12">
        <f>IF(M617="","",X617-W617)</f>
        <v/>
      </c>
      <c r="Z617" s="12">
        <f>IF(M617="","",IF(M617&lt;0,N(Z616)+1,0))</f>
        <v/>
      </c>
    </row>
    <row r="618">
      <c r="H618" s="7" t="n"/>
      <c r="I618" s="7" t="n"/>
      <c r="J618" s="7" t="n"/>
      <c r="K618" s="7" t="n"/>
      <c r="M618" s="8" t="n"/>
      <c r="P618" s="9" t="n"/>
      <c r="Q618" s="10" t="n"/>
      <c r="R618" s="10" t="n"/>
      <c r="S618" s="11" t="n"/>
      <c r="U618" s="12">
        <f>IF(OR(H618="",I618=""),"",ROUND(Settings!$B$4/ABS(H618-I618),2))</f>
        <v/>
      </c>
      <c r="V618" s="13">
        <f>IF(M618="","",ROUND(M618*Settings!$B$4,2))</f>
        <v/>
      </c>
      <c r="W618" s="12">
        <f>IF(M618="","",SUM($M$2:M618))</f>
        <v/>
      </c>
      <c r="X618" s="12">
        <f>IF(M618="","",MAX(0,N(X617),W618))</f>
        <v/>
      </c>
      <c r="Y618" s="12">
        <f>IF(M618="","",X618-W618)</f>
        <v/>
      </c>
      <c r="Z618" s="12">
        <f>IF(M618="","",IF(M618&lt;0,N(Z617)+1,0))</f>
        <v/>
      </c>
    </row>
    <row r="619">
      <c r="H619" s="7" t="n"/>
      <c r="I619" s="7" t="n"/>
      <c r="J619" s="7" t="n"/>
      <c r="K619" s="7" t="n"/>
      <c r="M619" s="8" t="n"/>
      <c r="P619" s="9" t="n"/>
      <c r="Q619" s="10" t="n"/>
      <c r="R619" s="10" t="n"/>
      <c r="S619" s="11" t="n"/>
      <c r="U619" s="12">
        <f>IF(OR(H619="",I619=""),"",ROUND(Settings!$B$4/ABS(H619-I619),2))</f>
        <v/>
      </c>
      <c r="V619" s="13">
        <f>IF(M619="","",ROUND(M619*Settings!$B$4,2))</f>
        <v/>
      </c>
      <c r="W619" s="12">
        <f>IF(M619="","",SUM($M$2:M619))</f>
        <v/>
      </c>
      <c r="X619" s="12">
        <f>IF(M619="","",MAX(0,N(X618),W619))</f>
        <v/>
      </c>
      <c r="Y619" s="12">
        <f>IF(M619="","",X619-W619)</f>
        <v/>
      </c>
      <c r="Z619" s="12">
        <f>IF(M619="","",IF(M619&lt;0,N(Z618)+1,0))</f>
        <v/>
      </c>
    </row>
    <row r="620">
      <c r="H620" s="7" t="n"/>
      <c r="I620" s="7" t="n"/>
      <c r="J620" s="7" t="n"/>
      <c r="K620" s="7" t="n"/>
      <c r="M620" s="8" t="n"/>
      <c r="P620" s="9" t="n"/>
      <c r="Q620" s="10" t="n"/>
      <c r="R620" s="10" t="n"/>
      <c r="S620" s="11" t="n"/>
      <c r="U620" s="12">
        <f>IF(OR(H620="",I620=""),"",ROUND(Settings!$B$4/ABS(H620-I620),2))</f>
        <v/>
      </c>
      <c r="V620" s="13">
        <f>IF(M620="","",ROUND(M620*Settings!$B$4,2))</f>
        <v/>
      </c>
      <c r="W620" s="12">
        <f>IF(M620="","",SUM($M$2:M620))</f>
        <v/>
      </c>
      <c r="X620" s="12">
        <f>IF(M620="","",MAX(0,N(X619),W620))</f>
        <v/>
      </c>
      <c r="Y620" s="12">
        <f>IF(M620="","",X620-W620)</f>
        <v/>
      </c>
      <c r="Z620" s="12">
        <f>IF(M620="","",IF(M620&lt;0,N(Z619)+1,0))</f>
        <v/>
      </c>
    </row>
    <row r="621">
      <c r="H621" s="7" t="n"/>
      <c r="I621" s="7" t="n"/>
      <c r="J621" s="7" t="n"/>
      <c r="K621" s="7" t="n"/>
      <c r="M621" s="8" t="n"/>
      <c r="P621" s="9" t="n"/>
      <c r="Q621" s="10" t="n"/>
      <c r="R621" s="10" t="n"/>
      <c r="S621" s="11" t="n"/>
      <c r="U621" s="12">
        <f>IF(OR(H621="",I621=""),"",ROUND(Settings!$B$4/ABS(H621-I621),2))</f>
        <v/>
      </c>
      <c r="V621" s="13">
        <f>IF(M621="","",ROUND(M621*Settings!$B$4,2))</f>
        <v/>
      </c>
      <c r="W621" s="12">
        <f>IF(M621="","",SUM($M$2:M621))</f>
        <v/>
      </c>
      <c r="X621" s="12">
        <f>IF(M621="","",MAX(0,N(X620),W621))</f>
        <v/>
      </c>
      <c r="Y621" s="12">
        <f>IF(M621="","",X621-W621)</f>
        <v/>
      </c>
      <c r="Z621" s="12">
        <f>IF(M621="","",IF(M621&lt;0,N(Z620)+1,0))</f>
        <v/>
      </c>
    </row>
    <row r="622">
      <c r="H622" s="7" t="n"/>
      <c r="I622" s="7" t="n"/>
      <c r="J622" s="7" t="n"/>
      <c r="K622" s="7" t="n"/>
      <c r="M622" s="8" t="n"/>
      <c r="P622" s="9" t="n"/>
      <c r="Q622" s="10" t="n"/>
      <c r="R622" s="10" t="n"/>
      <c r="S622" s="11" t="n"/>
      <c r="U622" s="12">
        <f>IF(OR(H622="",I622=""),"",ROUND(Settings!$B$4/ABS(H622-I622),2))</f>
        <v/>
      </c>
      <c r="V622" s="13">
        <f>IF(M622="","",ROUND(M622*Settings!$B$4,2))</f>
        <v/>
      </c>
      <c r="W622" s="12">
        <f>IF(M622="","",SUM($M$2:M622))</f>
        <v/>
      </c>
      <c r="X622" s="12">
        <f>IF(M622="","",MAX(0,N(X621),W622))</f>
        <v/>
      </c>
      <c r="Y622" s="12">
        <f>IF(M622="","",X622-W622)</f>
        <v/>
      </c>
      <c r="Z622" s="12">
        <f>IF(M622="","",IF(M622&lt;0,N(Z621)+1,0))</f>
        <v/>
      </c>
    </row>
    <row r="623">
      <c r="H623" s="7" t="n"/>
      <c r="I623" s="7" t="n"/>
      <c r="J623" s="7" t="n"/>
      <c r="K623" s="7" t="n"/>
      <c r="M623" s="8" t="n"/>
      <c r="P623" s="9" t="n"/>
      <c r="Q623" s="10" t="n"/>
      <c r="R623" s="10" t="n"/>
      <c r="S623" s="11" t="n"/>
      <c r="U623" s="12">
        <f>IF(OR(H623="",I623=""),"",ROUND(Settings!$B$4/ABS(H623-I623),2))</f>
        <v/>
      </c>
      <c r="V623" s="13">
        <f>IF(M623="","",ROUND(M623*Settings!$B$4,2))</f>
        <v/>
      </c>
      <c r="W623" s="12">
        <f>IF(M623="","",SUM($M$2:M623))</f>
        <v/>
      </c>
      <c r="X623" s="12">
        <f>IF(M623="","",MAX(0,N(X622),W623))</f>
        <v/>
      </c>
      <c r="Y623" s="12">
        <f>IF(M623="","",X623-W623)</f>
        <v/>
      </c>
      <c r="Z623" s="12">
        <f>IF(M623="","",IF(M623&lt;0,N(Z622)+1,0))</f>
        <v/>
      </c>
    </row>
    <row r="624">
      <c r="H624" s="7" t="n"/>
      <c r="I624" s="7" t="n"/>
      <c r="J624" s="7" t="n"/>
      <c r="K624" s="7" t="n"/>
      <c r="M624" s="8" t="n"/>
      <c r="P624" s="9" t="n"/>
      <c r="Q624" s="10" t="n"/>
      <c r="R624" s="10" t="n"/>
      <c r="S624" s="11" t="n"/>
      <c r="U624" s="12">
        <f>IF(OR(H624="",I624=""),"",ROUND(Settings!$B$4/ABS(H624-I624),2))</f>
        <v/>
      </c>
      <c r="V624" s="13">
        <f>IF(M624="","",ROUND(M624*Settings!$B$4,2))</f>
        <v/>
      </c>
      <c r="W624" s="12">
        <f>IF(M624="","",SUM($M$2:M624))</f>
        <v/>
      </c>
      <c r="X624" s="12">
        <f>IF(M624="","",MAX(0,N(X623),W624))</f>
        <v/>
      </c>
      <c r="Y624" s="12">
        <f>IF(M624="","",X624-W624)</f>
        <v/>
      </c>
      <c r="Z624" s="12">
        <f>IF(M624="","",IF(M624&lt;0,N(Z623)+1,0))</f>
        <v/>
      </c>
    </row>
    <row r="625">
      <c r="H625" s="7" t="n"/>
      <c r="I625" s="7" t="n"/>
      <c r="J625" s="7" t="n"/>
      <c r="K625" s="7" t="n"/>
      <c r="M625" s="8" t="n"/>
      <c r="P625" s="9" t="n"/>
      <c r="Q625" s="10" t="n"/>
      <c r="R625" s="10" t="n"/>
      <c r="S625" s="11" t="n"/>
      <c r="U625" s="12">
        <f>IF(OR(H625="",I625=""),"",ROUND(Settings!$B$4/ABS(H625-I625),2))</f>
        <v/>
      </c>
      <c r="V625" s="13">
        <f>IF(M625="","",ROUND(M625*Settings!$B$4,2))</f>
        <v/>
      </c>
      <c r="W625" s="12">
        <f>IF(M625="","",SUM($M$2:M625))</f>
        <v/>
      </c>
      <c r="X625" s="12">
        <f>IF(M625="","",MAX(0,N(X624),W625))</f>
        <v/>
      </c>
      <c r="Y625" s="12">
        <f>IF(M625="","",X625-W625)</f>
        <v/>
      </c>
      <c r="Z625" s="12">
        <f>IF(M625="","",IF(M625&lt;0,N(Z624)+1,0))</f>
        <v/>
      </c>
    </row>
    <row r="626">
      <c r="H626" s="7" t="n"/>
      <c r="I626" s="7" t="n"/>
      <c r="J626" s="7" t="n"/>
      <c r="K626" s="7" t="n"/>
      <c r="M626" s="8" t="n"/>
      <c r="P626" s="9" t="n"/>
      <c r="Q626" s="10" t="n"/>
      <c r="R626" s="10" t="n"/>
      <c r="S626" s="11" t="n"/>
      <c r="U626" s="12">
        <f>IF(OR(H626="",I626=""),"",ROUND(Settings!$B$4/ABS(H626-I626),2))</f>
        <v/>
      </c>
      <c r="V626" s="13">
        <f>IF(M626="","",ROUND(M626*Settings!$B$4,2))</f>
        <v/>
      </c>
      <c r="W626" s="12">
        <f>IF(M626="","",SUM($M$2:M626))</f>
        <v/>
      </c>
      <c r="X626" s="12">
        <f>IF(M626="","",MAX(0,N(X625),W626))</f>
        <v/>
      </c>
      <c r="Y626" s="12">
        <f>IF(M626="","",X626-W626)</f>
        <v/>
      </c>
      <c r="Z626" s="12">
        <f>IF(M626="","",IF(M626&lt;0,N(Z625)+1,0))</f>
        <v/>
      </c>
    </row>
    <row r="627">
      <c r="H627" s="7" t="n"/>
      <c r="I627" s="7" t="n"/>
      <c r="J627" s="7" t="n"/>
      <c r="K627" s="7" t="n"/>
      <c r="M627" s="8" t="n"/>
      <c r="P627" s="9" t="n"/>
      <c r="Q627" s="10" t="n"/>
      <c r="R627" s="10" t="n"/>
      <c r="S627" s="11" t="n"/>
      <c r="U627" s="12">
        <f>IF(OR(H627="",I627=""),"",ROUND(Settings!$B$4/ABS(H627-I627),2))</f>
        <v/>
      </c>
      <c r="V627" s="13">
        <f>IF(M627="","",ROUND(M627*Settings!$B$4,2))</f>
        <v/>
      </c>
      <c r="W627" s="12">
        <f>IF(M627="","",SUM($M$2:M627))</f>
        <v/>
      </c>
      <c r="X627" s="12">
        <f>IF(M627="","",MAX(0,N(X626),W627))</f>
        <v/>
      </c>
      <c r="Y627" s="12">
        <f>IF(M627="","",X627-W627)</f>
        <v/>
      </c>
      <c r="Z627" s="12">
        <f>IF(M627="","",IF(M627&lt;0,N(Z626)+1,0))</f>
        <v/>
      </c>
    </row>
    <row r="628">
      <c r="H628" s="7" t="n"/>
      <c r="I628" s="7" t="n"/>
      <c r="J628" s="7" t="n"/>
      <c r="K628" s="7" t="n"/>
      <c r="M628" s="8" t="n"/>
      <c r="P628" s="9" t="n"/>
      <c r="Q628" s="10" t="n"/>
      <c r="R628" s="10" t="n"/>
      <c r="S628" s="11" t="n"/>
      <c r="U628" s="12">
        <f>IF(OR(H628="",I628=""),"",ROUND(Settings!$B$4/ABS(H628-I628),2))</f>
        <v/>
      </c>
      <c r="V628" s="13">
        <f>IF(M628="","",ROUND(M628*Settings!$B$4,2))</f>
        <v/>
      </c>
      <c r="W628" s="12">
        <f>IF(M628="","",SUM($M$2:M628))</f>
        <v/>
      </c>
      <c r="X628" s="12">
        <f>IF(M628="","",MAX(0,N(X627),W628))</f>
        <v/>
      </c>
      <c r="Y628" s="12">
        <f>IF(M628="","",X628-W628)</f>
        <v/>
      </c>
      <c r="Z628" s="12">
        <f>IF(M628="","",IF(M628&lt;0,N(Z627)+1,0))</f>
        <v/>
      </c>
    </row>
    <row r="629">
      <c r="H629" s="7" t="n"/>
      <c r="I629" s="7" t="n"/>
      <c r="J629" s="7" t="n"/>
      <c r="K629" s="7" t="n"/>
      <c r="M629" s="8" t="n"/>
      <c r="P629" s="9" t="n"/>
      <c r="Q629" s="10" t="n"/>
      <c r="R629" s="10" t="n"/>
      <c r="S629" s="11" t="n"/>
      <c r="U629" s="12">
        <f>IF(OR(H629="",I629=""),"",ROUND(Settings!$B$4/ABS(H629-I629),2))</f>
        <v/>
      </c>
      <c r="V629" s="13">
        <f>IF(M629="","",ROUND(M629*Settings!$B$4,2))</f>
        <v/>
      </c>
      <c r="W629" s="12">
        <f>IF(M629="","",SUM($M$2:M629))</f>
        <v/>
      </c>
      <c r="X629" s="12">
        <f>IF(M629="","",MAX(0,N(X628),W629))</f>
        <v/>
      </c>
      <c r="Y629" s="12">
        <f>IF(M629="","",X629-W629)</f>
        <v/>
      </c>
      <c r="Z629" s="12">
        <f>IF(M629="","",IF(M629&lt;0,N(Z628)+1,0))</f>
        <v/>
      </c>
    </row>
    <row r="630">
      <c r="H630" s="7" t="n"/>
      <c r="I630" s="7" t="n"/>
      <c r="J630" s="7" t="n"/>
      <c r="K630" s="7" t="n"/>
      <c r="M630" s="8" t="n"/>
      <c r="P630" s="9" t="n"/>
      <c r="Q630" s="10" t="n"/>
      <c r="R630" s="10" t="n"/>
      <c r="S630" s="11" t="n"/>
      <c r="U630" s="12">
        <f>IF(OR(H630="",I630=""),"",ROUND(Settings!$B$4/ABS(H630-I630),2))</f>
        <v/>
      </c>
      <c r="V630" s="13">
        <f>IF(M630="","",ROUND(M630*Settings!$B$4,2))</f>
        <v/>
      </c>
      <c r="W630" s="12">
        <f>IF(M630="","",SUM($M$2:M630))</f>
        <v/>
      </c>
      <c r="X630" s="12">
        <f>IF(M630="","",MAX(0,N(X629),W630))</f>
        <v/>
      </c>
      <c r="Y630" s="12">
        <f>IF(M630="","",X630-W630)</f>
        <v/>
      </c>
      <c r="Z630" s="12">
        <f>IF(M630="","",IF(M630&lt;0,N(Z629)+1,0))</f>
        <v/>
      </c>
    </row>
    <row r="631">
      <c r="H631" s="7" t="n"/>
      <c r="I631" s="7" t="n"/>
      <c r="J631" s="7" t="n"/>
      <c r="K631" s="7" t="n"/>
      <c r="M631" s="8" t="n"/>
      <c r="P631" s="9" t="n"/>
      <c r="Q631" s="10" t="n"/>
      <c r="R631" s="10" t="n"/>
      <c r="S631" s="11" t="n"/>
      <c r="U631" s="12">
        <f>IF(OR(H631="",I631=""),"",ROUND(Settings!$B$4/ABS(H631-I631),2))</f>
        <v/>
      </c>
      <c r="V631" s="13">
        <f>IF(M631="","",ROUND(M631*Settings!$B$4,2))</f>
        <v/>
      </c>
      <c r="W631" s="12">
        <f>IF(M631="","",SUM($M$2:M631))</f>
        <v/>
      </c>
      <c r="X631" s="12">
        <f>IF(M631="","",MAX(0,N(X630),W631))</f>
        <v/>
      </c>
      <c r="Y631" s="12">
        <f>IF(M631="","",X631-W631)</f>
        <v/>
      </c>
      <c r="Z631" s="12">
        <f>IF(M631="","",IF(M631&lt;0,N(Z630)+1,0))</f>
        <v/>
      </c>
    </row>
    <row r="632">
      <c r="H632" s="7" t="n"/>
      <c r="I632" s="7" t="n"/>
      <c r="J632" s="7" t="n"/>
      <c r="K632" s="7" t="n"/>
      <c r="M632" s="8" t="n"/>
      <c r="P632" s="9" t="n"/>
      <c r="Q632" s="10" t="n"/>
      <c r="R632" s="10" t="n"/>
      <c r="S632" s="11" t="n"/>
      <c r="U632" s="12">
        <f>IF(OR(H632="",I632=""),"",ROUND(Settings!$B$4/ABS(H632-I632),2))</f>
        <v/>
      </c>
      <c r="V632" s="13">
        <f>IF(M632="","",ROUND(M632*Settings!$B$4,2))</f>
        <v/>
      </c>
      <c r="W632" s="12">
        <f>IF(M632="","",SUM($M$2:M632))</f>
        <v/>
      </c>
      <c r="X632" s="12">
        <f>IF(M632="","",MAX(0,N(X631),W632))</f>
        <v/>
      </c>
      <c r="Y632" s="12">
        <f>IF(M632="","",X632-W632)</f>
        <v/>
      </c>
      <c r="Z632" s="12">
        <f>IF(M632="","",IF(M632&lt;0,N(Z631)+1,0))</f>
        <v/>
      </c>
    </row>
    <row r="633">
      <c r="H633" s="7" t="n"/>
      <c r="I633" s="7" t="n"/>
      <c r="J633" s="7" t="n"/>
      <c r="K633" s="7" t="n"/>
      <c r="M633" s="8" t="n"/>
      <c r="P633" s="9" t="n"/>
      <c r="Q633" s="10" t="n"/>
      <c r="R633" s="10" t="n"/>
      <c r="S633" s="11" t="n"/>
      <c r="U633" s="12">
        <f>IF(OR(H633="",I633=""),"",ROUND(Settings!$B$4/ABS(H633-I633),2))</f>
        <v/>
      </c>
      <c r="V633" s="13">
        <f>IF(M633="","",ROUND(M633*Settings!$B$4,2))</f>
        <v/>
      </c>
      <c r="W633" s="12">
        <f>IF(M633="","",SUM($M$2:M633))</f>
        <v/>
      </c>
      <c r="X633" s="12">
        <f>IF(M633="","",MAX(0,N(X632),W633))</f>
        <v/>
      </c>
      <c r="Y633" s="12">
        <f>IF(M633="","",X633-W633)</f>
        <v/>
      </c>
      <c r="Z633" s="12">
        <f>IF(M633="","",IF(M633&lt;0,N(Z632)+1,0))</f>
        <v/>
      </c>
    </row>
    <row r="634">
      <c r="H634" s="7" t="n"/>
      <c r="I634" s="7" t="n"/>
      <c r="J634" s="7" t="n"/>
      <c r="K634" s="7" t="n"/>
      <c r="M634" s="8" t="n"/>
      <c r="P634" s="9" t="n"/>
      <c r="Q634" s="10" t="n"/>
      <c r="R634" s="10" t="n"/>
      <c r="S634" s="11" t="n"/>
      <c r="U634" s="12">
        <f>IF(OR(H634="",I634=""),"",ROUND(Settings!$B$4/ABS(H634-I634),2))</f>
        <v/>
      </c>
      <c r="V634" s="13">
        <f>IF(M634="","",ROUND(M634*Settings!$B$4,2))</f>
        <v/>
      </c>
      <c r="W634" s="12">
        <f>IF(M634="","",SUM($M$2:M634))</f>
        <v/>
      </c>
      <c r="X634" s="12">
        <f>IF(M634="","",MAX(0,N(X633),W634))</f>
        <v/>
      </c>
      <c r="Y634" s="12">
        <f>IF(M634="","",X634-W634)</f>
        <v/>
      </c>
      <c r="Z634" s="12">
        <f>IF(M634="","",IF(M634&lt;0,N(Z633)+1,0))</f>
        <v/>
      </c>
    </row>
    <row r="635">
      <c r="H635" s="7" t="n"/>
      <c r="I635" s="7" t="n"/>
      <c r="J635" s="7" t="n"/>
      <c r="K635" s="7" t="n"/>
      <c r="M635" s="8" t="n"/>
      <c r="P635" s="9" t="n"/>
      <c r="Q635" s="10" t="n"/>
      <c r="R635" s="10" t="n"/>
      <c r="S635" s="11" t="n"/>
      <c r="U635" s="12">
        <f>IF(OR(H635="",I635=""),"",ROUND(Settings!$B$4/ABS(H635-I635),2))</f>
        <v/>
      </c>
      <c r="V635" s="13">
        <f>IF(M635="","",ROUND(M635*Settings!$B$4,2))</f>
        <v/>
      </c>
      <c r="W635" s="12">
        <f>IF(M635="","",SUM($M$2:M635))</f>
        <v/>
      </c>
      <c r="X635" s="12">
        <f>IF(M635="","",MAX(0,N(X634),W635))</f>
        <v/>
      </c>
      <c r="Y635" s="12">
        <f>IF(M635="","",X635-W635)</f>
        <v/>
      </c>
      <c r="Z635" s="12">
        <f>IF(M635="","",IF(M635&lt;0,N(Z634)+1,0))</f>
        <v/>
      </c>
    </row>
    <row r="636">
      <c r="H636" s="7" t="n"/>
      <c r="I636" s="7" t="n"/>
      <c r="J636" s="7" t="n"/>
      <c r="K636" s="7" t="n"/>
      <c r="M636" s="8" t="n"/>
      <c r="P636" s="9" t="n"/>
      <c r="Q636" s="10" t="n"/>
      <c r="R636" s="10" t="n"/>
      <c r="S636" s="11" t="n"/>
      <c r="U636" s="12">
        <f>IF(OR(H636="",I636=""),"",ROUND(Settings!$B$4/ABS(H636-I636),2))</f>
        <v/>
      </c>
      <c r="V636" s="13">
        <f>IF(M636="","",ROUND(M636*Settings!$B$4,2))</f>
        <v/>
      </c>
      <c r="W636" s="12">
        <f>IF(M636="","",SUM($M$2:M636))</f>
        <v/>
      </c>
      <c r="X636" s="12">
        <f>IF(M636="","",MAX(0,N(X635),W636))</f>
        <v/>
      </c>
      <c r="Y636" s="12">
        <f>IF(M636="","",X636-W636)</f>
        <v/>
      </c>
      <c r="Z636" s="12">
        <f>IF(M636="","",IF(M636&lt;0,N(Z635)+1,0))</f>
        <v/>
      </c>
    </row>
    <row r="637">
      <c r="H637" s="7" t="n"/>
      <c r="I637" s="7" t="n"/>
      <c r="J637" s="7" t="n"/>
      <c r="K637" s="7" t="n"/>
      <c r="M637" s="8" t="n"/>
      <c r="P637" s="9" t="n"/>
      <c r="Q637" s="10" t="n"/>
      <c r="R637" s="10" t="n"/>
      <c r="S637" s="11" t="n"/>
      <c r="U637" s="12">
        <f>IF(OR(H637="",I637=""),"",ROUND(Settings!$B$4/ABS(H637-I637),2))</f>
        <v/>
      </c>
      <c r="V637" s="13">
        <f>IF(M637="","",ROUND(M637*Settings!$B$4,2))</f>
        <v/>
      </c>
      <c r="W637" s="12">
        <f>IF(M637="","",SUM($M$2:M637))</f>
        <v/>
      </c>
      <c r="X637" s="12">
        <f>IF(M637="","",MAX(0,N(X636),W637))</f>
        <v/>
      </c>
      <c r="Y637" s="12">
        <f>IF(M637="","",X637-W637)</f>
        <v/>
      </c>
      <c r="Z637" s="12">
        <f>IF(M637="","",IF(M637&lt;0,N(Z636)+1,0))</f>
        <v/>
      </c>
    </row>
    <row r="638">
      <c r="H638" s="7" t="n"/>
      <c r="I638" s="7" t="n"/>
      <c r="J638" s="7" t="n"/>
      <c r="K638" s="7" t="n"/>
      <c r="M638" s="8" t="n"/>
      <c r="P638" s="9" t="n"/>
      <c r="Q638" s="10" t="n"/>
      <c r="R638" s="10" t="n"/>
      <c r="S638" s="11" t="n"/>
      <c r="U638" s="12">
        <f>IF(OR(H638="",I638=""),"",ROUND(Settings!$B$4/ABS(H638-I638),2))</f>
        <v/>
      </c>
      <c r="V638" s="13">
        <f>IF(M638="","",ROUND(M638*Settings!$B$4,2))</f>
        <v/>
      </c>
      <c r="W638" s="12">
        <f>IF(M638="","",SUM($M$2:M638))</f>
        <v/>
      </c>
      <c r="X638" s="12">
        <f>IF(M638="","",MAX(0,N(X637),W638))</f>
        <v/>
      </c>
      <c r="Y638" s="12">
        <f>IF(M638="","",X638-W638)</f>
        <v/>
      </c>
      <c r="Z638" s="12">
        <f>IF(M638="","",IF(M638&lt;0,N(Z637)+1,0))</f>
        <v/>
      </c>
    </row>
    <row r="639">
      <c r="H639" s="7" t="n"/>
      <c r="I639" s="7" t="n"/>
      <c r="J639" s="7" t="n"/>
      <c r="K639" s="7" t="n"/>
      <c r="M639" s="8" t="n"/>
      <c r="P639" s="9" t="n"/>
      <c r="Q639" s="10" t="n"/>
      <c r="R639" s="10" t="n"/>
      <c r="S639" s="11" t="n"/>
      <c r="U639" s="12">
        <f>IF(OR(H639="",I639=""),"",ROUND(Settings!$B$4/ABS(H639-I639),2))</f>
        <v/>
      </c>
      <c r="V639" s="13">
        <f>IF(M639="","",ROUND(M639*Settings!$B$4,2))</f>
        <v/>
      </c>
      <c r="W639" s="12">
        <f>IF(M639="","",SUM($M$2:M639))</f>
        <v/>
      </c>
      <c r="X639" s="12">
        <f>IF(M639="","",MAX(0,N(X638),W639))</f>
        <v/>
      </c>
      <c r="Y639" s="12">
        <f>IF(M639="","",X639-W639)</f>
        <v/>
      </c>
      <c r="Z639" s="12">
        <f>IF(M639="","",IF(M639&lt;0,N(Z638)+1,0))</f>
        <v/>
      </c>
    </row>
    <row r="640">
      <c r="H640" s="7" t="n"/>
      <c r="I640" s="7" t="n"/>
      <c r="J640" s="7" t="n"/>
      <c r="K640" s="7" t="n"/>
      <c r="M640" s="8" t="n"/>
      <c r="P640" s="9" t="n"/>
      <c r="Q640" s="10" t="n"/>
      <c r="R640" s="10" t="n"/>
      <c r="S640" s="11" t="n"/>
      <c r="U640" s="12">
        <f>IF(OR(H640="",I640=""),"",ROUND(Settings!$B$4/ABS(H640-I640),2))</f>
        <v/>
      </c>
      <c r="V640" s="13">
        <f>IF(M640="","",ROUND(M640*Settings!$B$4,2))</f>
        <v/>
      </c>
      <c r="W640" s="12">
        <f>IF(M640="","",SUM($M$2:M640))</f>
        <v/>
      </c>
      <c r="X640" s="12">
        <f>IF(M640="","",MAX(0,N(X639),W640))</f>
        <v/>
      </c>
      <c r="Y640" s="12">
        <f>IF(M640="","",X640-W640)</f>
        <v/>
      </c>
      <c r="Z640" s="12">
        <f>IF(M640="","",IF(M640&lt;0,N(Z639)+1,0))</f>
        <v/>
      </c>
    </row>
    <row r="641">
      <c r="H641" s="7" t="n"/>
      <c r="I641" s="7" t="n"/>
      <c r="J641" s="7" t="n"/>
      <c r="K641" s="7" t="n"/>
      <c r="M641" s="8" t="n"/>
      <c r="P641" s="9" t="n"/>
      <c r="Q641" s="10" t="n"/>
      <c r="R641" s="10" t="n"/>
      <c r="S641" s="11" t="n"/>
      <c r="U641" s="12">
        <f>IF(OR(H641="",I641=""),"",ROUND(Settings!$B$4/ABS(H641-I641),2))</f>
        <v/>
      </c>
      <c r="V641" s="13">
        <f>IF(M641="","",ROUND(M641*Settings!$B$4,2))</f>
        <v/>
      </c>
      <c r="W641" s="12">
        <f>IF(M641="","",SUM($M$2:M641))</f>
        <v/>
      </c>
      <c r="X641" s="12">
        <f>IF(M641="","",MAX(0,N(X640),W641))</f>
        <v/>
      </c>
      <c r="Y641" s="12">
        <f>IF(M641="","",X641-W641)</f>
        <v/>
      </c>
      <c r="Z641" s="12">
        <f>IF(M641="","",IF(M641&lt;0,N(Z640)+1,0))</f>
        <v/>
      </c>
    </row>
    <row r="642">
      <c r="H642" s="7" t="n"/>
      <c r="I642" s="7" t="n"/>
      <c r="J642" s="7" t="n"/>
      <c r="K642" s="7" t="n"/>
      <c r="M642" s="8" t="n"/>
      <c r="P642" s="9" t="n"/>
      <c r="Q642" s="10" t="n"/>
      <c r="R642" s="10" t="n"/>
      <c r="S642" s="11" t="n"/>
      <c r="U642" s="12">
        <f>IF(OR(H642="",I642=""),"",ROUND(Settings!$B$4/ABS(H642-I642),2))</f>
        <v/>
      </c>
      <c r="V642" s="13">
        <f>IF(M642="","",ROUND(M642*Settings!$B$4,2))</f>
        <v/>
      </c>
      <c r="W642" s="12">
        <f>IF(M642="","",SUM($M$2:M642))</f>
        <v/>
      </c>
      <c r="X642" s="12">
        <f>IF(M642="","",MAX(0,N(X641),W642))</f>
        <v/>
      </c>
      <c r="Y642" s="12">
        <f>IF(M642="","",X642-W642)</f>
        <v/>
      </c>
      <c r="Z642" s="12">
        <f>IF(M642="","",IF(M642&lt;0,N(Z641)+1,0))</f>
        <v/>
      </c>
    </row>
    <row r="643">
      <c r="H643" s="7" t="n"/>
      <c r="I643" s="7" t="n"/>
      <c r="J643" s="7" t="n"/>
      <c r="K643" s="7" t="n"/>
      <c r="M643" s="8" t="n"/>
      <c r="P643" s="9" t="n"/>
      <c r="Q643" s="10" t="n"/>
      <c r="R643" s="10" t="n"/>
      <c r="S643" s="11" t="n"/>
      <c r="U643" s="12">
        <f>IF(OR(H643="",I643=""),"",ROUND(Settings!$B$4/ABS(H643-I643),2))</f>
        <v/>
      </c>
      <c r="V643" s="13">
        <f>IF(M643="","",ROUND(M643*Settings!$B$4,2))</f>
        <v/>
      </c>
      <c r="W643" s="12">
        <f>IF(M643="","",SUM($M$2:M643))</f>
        <v/>
      </c>
      <c r="X643" s="12">
        <f>IF(M643="","",MAX(0,N(X642),W643))</f>
        <v/>
      </c>
      <c r="Y643" s="12">
        <f>IF(M643="","",X643-W643)</f>
        <v/>
      </c>
      <c r="Z643" s="12">
        <f>IF(M643="","",IF(M643&lt;0,N(Z642)+1,0))</f>
        <v/>
      </c>
    </row>
    <row r="644">
      <c r="H644" s="7" t="n"/>
      <c r="I644" s="7" t="n"/>
      <c r="J644" s="7" t="n"/>
      <c r="K644" s="7" t="n"/>
      <c r="M644" s="8" t="n"/>
      <c r="P644" s="9" t="n"/>
      <c r="Q644" s="10" t="n"/>
      <c r="R644" s="10" t="n"/>
      <c r="S644" s="11" t="n"/>
      <c r="U644" s="12">
        <f>IF(OR(H644="",I644=""),"",ROUND(Settings!$B$4/ABS(H644-I644),2))</f>
        <v/>
      </c>
      <c r="V644" s="13">
        <f>IF(M644="","",ROUND(M644*Settings!$B$4,2))</f>
        <v/>
      </c>
      <c r="W644" s="12">
        <f>IF(M644="","",SUM($M$2:M644))</f>
        <v/>
      </c>
      <c r="X644" s="12">
        <f>IF(M644="","",MAX(0,N(X643),W644))</f>
        <v/>
      </c>
      <c r="Y644" s="12">
        <f>IF(M644="","",X644-W644)</f>
        <v/>
      </c>
      <c r="Z644" s="12">
        <f>IF(M644="","",IF(M644&lt;0,N(Z643)+1,0))</f>
        <v/>
      </c>
    </row>
    <row r="645">
      <c r="H645" s="7" t="n"/>
      <c r="I645" s="7" t="n"/>
      <c r="J645" s="7" t="n"/>
      <c r="K645" s="7" t="n"/>
      <c r="M645" s="8" t="n"/>
      <c r="P645" s="9" t="n"/>
      <c r="Q645" s="10" t="n"/>
      <c r="R645" s="10" t="n"/>
      <c r="S645" s="11" t="n"/>
      <c r="U645" s="12">
        <f>IF(OR(H645="",I645=""),"",ROUND(Settings!$B$4/ABS(H645-I645),2))</f>
        <v/>
      </c>
      <c r="V645" s="13">
        <f>IF(M645="","",ROUND(M645*Settings!$B$4,2))</f>
        <v/>
      </c>
      <c r="W645" s="12">
        <f>IF(M645="","",SUM($M$2:M645))</f>
        <v/>
      </c>
      <c r="X645" s="12">
        <f>IF(M645="","",MAX(0,N(X644),W645))</f>
        <v/>
      </c>
      <c r="Y645" s="12">
        <f>IF(M645="","",X645-W645)</f>
        <v/>
      </c>
      <c r="Z645" s="12">
        <f>IF(M645="","",IF(M645&lt;0,N(Z644)+1,0))</f>
        <v/>
      </c>
    </row>
    <row r="646">
      <c r="H646" s="7" t="n"/>
      <c r="I646" s="7" t="n"/>
      <c r="J646" s="7" t="n"/>
      <c r="K646" s="7" t="n"/>
      <c r="M646" s="8" t="n"/>
      <c r="P646" s="9" t="n"/>
      <c r="Q646" s="10" t="n"/>
      <c r="R646" s="10" t="n"/>
      <c r="S646" s="11" t="n"/>
      <c r="U646" s="12">
        <f>IF(OR(H646="",I646=""),"",ROUND(Settings!$B$4/ABS(H646-I646),2))</f>
        <v/>
      </c>
      <c r="V646" s="13">
        <f>IF(M646="","",ROUND(M646*Settings!$B$4,2))</f>
        <v/>
      </c>
      <c r="W646" s="12">
        <f>IF(M646="","",SUM($M$2:M646))</f>
        <v/>
      </c>
      <c r="X646" s="12">
        <f>IF(M646="","",MAX(0,N(X645),W646))</f>
        <v/>
      </c>
      <c r="Y646" s="12">
        <f>IF(M646="","",X646-W646)</f>
        <v/>
      </c>
      <c r="Z646" s="12">
        <f>IF(M646="","",IF(M646&lt;0,N(Z645)+1,0))</f>
        <v/>
      </c>
    </row>
    <row r="647">
      <c r="H647" s="7" t="n"/>
      <c r="I647" s="7" t="n"/>
      <c r="J647" s="7" t="n"/>
      <c r="K647" s="7" t="n"/>
      <c r="M647" s="8" t="n"/>
      <c r="P647" s="9" t="n"/>
      <c r="Q647" s="10" t="n"/>
      <c r="R647" s="10" t="n"/>
      <c r="S647" s="11" t="n"/>
      <c r="U647" s="12">
        <f>IF(OR(H647="",I647=""),"",ROUND(Settings!$B$4/ABS(H647-I647),2))</f>
        <v/>
      </c>
      <c r="V647" s="13">
        <f>IF(M647="","",ROUND(M647*Settings!$B$4,2))</f>
        <v/>
      </c>
      <c r="W647" s="12">
        <f>IF(M647="","",SUM($M$2:M647))</f>
        <v/>
      </c>
      <c r="X647" s="12">
        <f>IF(M647="","",MAX(0,N(X646),W647))</f>
        <v/>
      </c>
      <c r="Y647" s="12">
        <f>IF(M647="","",X647-W647)</f>
        <v/>
      </c>
      <c r="Z647" s="12">
        <f>IF(M647="","",IF(M647&lt;0,N(Z646)+1,0))</f>
        <v/>
      </c>
    </row>
    <row r="648">
      <c r="H648" s="7" t="n"/>
      <c r="I648" s="7" t="n"/>
      <c r="J648" s="7" t="n"/>
      <c r="K648" s="7" t="n"/>
      <c r="M648" s="8" t="n"/>
      <c r="P648" s="9" t="n"/>
      <c r="Q648" s="10" t="n"/>
      <c r="R648" s="10" t="n"/>
      <c r="S648" s="11" t="n"/>
      <c r="U648" s="12">
        <f>IF(OR(H648="",I648=""),"",ROUND(Settings!$B$4/ABS(H648-I648),2))</f>
        <v/>
      </c>
      <c r="V648" s="13">
        <f>IF(M648="","",ROUND(M648*Settings!$B$4,2))</f>
        <v/>
      </c>
      <c r="W648" s="12">
        <f>IF(M648="","",SUM($M$2:M648))</f>
        <v/>
      </c>
      <c r="X648" s="12">
        <f>IF(M648="","",MAX(0,N(X647),W648))</f>
        <v/>
      </c>
      <c r="Y648" s="12">
        <f>IF(M648="","",X648-W648)</f>
        <v/>
      </c>
      <c r="Z648" s="12">
        <f>IF(M648="","",IF(M648&lt;0,N(Z647)+1,0))</f>
        <v/>
      </c>
    </row>
    <row r="649">
      <c r="H649" s="7" t="n"/>
      <c r="I649" s="7" t="n"/>
      <c r="J649" s="7" t="n"/>
      <c r="K649" s="7" t="n"/>
      <c r="M649" s="8" t="n"/>
      <c r="P649" s="9" t="n"/>
      <c r="Q649" s="10" t="n"/>
      <c r="R649" s="10" t="n"/>
      <c r="S649" s="11" t="n"/>
      <c r="U649" s="12">
        <f>IF(OR(H649="",I649=""),"",ROUND(Settings!$B$4/ABS(H649-I649),2))</f>
        <v/>
      </c>
      <c r="V649" s="13">
        <f>IF(M649="","",ROUND(M649*Settings!$B$4,2))</f>
        <v/>
      </c>
      <c r="W649" s="12">
        <f>IF(M649="","",SUM($M$2:M649))</f>
        <v/>
      </c>
      <c r="X649" s="12">
        <f>IF(M649="","",MAX(0,N(X648),W649))</f>
        <v/>
      </c>
      <c r="Y649" s="12">
        <f>IF(M649="","",X649-W649)</f>
        <v/>
      </c>
      <c r="Z649" s="12">
        <f>IF(M649="","",IF(M649&lt;0,N(Z648)+1,0))</f>
        <v/>
      </c>
    </row>
    <row r="650">
      <c r="H650" s="7" t="n"/>
      <c r="I650" s="7" t="n"/>
      <c r="J650" s="7" t="n"/>
      <c r="K650" s="7" t="n"/>
      <c r="M650" s="8" t="n"/>
      <c r="P650" s="9" t="n"/>
      <c r="Q650" s="10" t="n"/>
      <c r="R650" s="10" t="n"/>
      <c r="S650" s="11" t="n"/>
      <c r="U650" s="12">
        <f>IF(OR(H650="",I650=""),"",ROUND(Settings!$B$4/ABS(H650-I650),2))</f>
        <v/>
      </c>
      <c r="V650" s="13">
        <f>IF(M650="","",ROUND(M650*Settings!$B$4,2))</f>
        <v/>
      </c>
      <c r="W650" s="12">
        <f>IF(M650="","",SUM($M$2:M650))</f>
        <v/>
      </c>
      <c r="X650" s="12">
        <f>IF(M650="","",MAX(0,N(X649),W650))</f>
        <v/>
      </c>
      <c r="Y650" s="12">
        <f>IF(M650="","",X650-W650)</f>
        <v/>
      </c>
      <c r="Z650" s="12">
        <f>IF(M650="","",IF(M650&lt;0,N(Z649)+1,0))</f>
        <v/>
      </c>
    </row>
    <row r="651">
      <c r="H651" s="7" t="n"/>
      <c r="I651" s="7" t="n"/>
      <c r="J651" s="7" t="n"/>
      <c r="K651" s="7" t="n"/>
      <c r="M651" s="8" t="n"/>
      <c r="P651" s="9" t="n"/>
      <c r="Q651" s="10" t="n"/>
      <c r="R651" s="10" t="n"/>
      <c r="S651" s="11" t="n"/>
      <c r="U651" s="12">
        <f>IF(OR(H651="",I651=""),"",ROUND(Settings!$B$4/ABS(H651-I651),2))</f>
        <v/>
      </c>
      <c r="V651" s="13">
        <f>IF(M651="","",ROUND(M651*Settings!$B$4,2))</f>
        <v/>
      </c>
      <c r="W651" s="12">
        <f>IF(M651="","",SUM($M$2:M651))</f>
        <v/>
      </c>
      <c r="X651" s="12">
        <f>IF(M651="","",MAX(0,N(X650),W651))</f>
        <v/>
      </c>
      <c r="Y651" s="12">
        <f>IF(M651="","",X651-W651)</f>
        <v/>
      </c>
      <c r="Z651" s="12">
        <f>IF(M651="","",IF(M651&lt;0,N(Z650)+1,0))</f>
        <v/>
      </c>
    </row>
    <row r="652">
      <c r="H652" s="7" t="n"/>
      <c r="I652" s="7" t="n"/>
      <c r="J652" s="7" t="n"/>
      <c r="K652" s="7" t="n"/>
      <c r="M652" s="8" t="n"/>
      <c r="P652" s="9" t="n"/>
      <c r="Q652" s="10" t="n"/>
      <c r="R652" s="10" t="n"/>
      <c r="S652" s="11" t="n"/>
      <c r="U652" s="12">
        <f>IF(OR(H652="",I652=""),"",ROUND(Settings!$B$4/ABS(H652-I652),2))</f>
        <v/>
      </c>
      <c r="V652" s="13">
        <f>IF(M652="","",ROUND(M652*Settings!$B$4,2))</f>
        <v/>
      </c>
      <c r="W652" s="12">
        <f>IF(M652="","",SUM($M$2:M652))</f>
        <v/>
      </c>
      <c r="X652" s="12">
        <f>IF(M652="","",MAX(0,N(X651),W652))</f>
        <v/>
      </c>
      <c r="Y652" s="12">
        <f>IF(M652="","",X652-W652)</f>
        <v/>
      </c>
      <c r="Z652" s="12">
        <f>IF(M652="","",IF(M652&lt;0,N(Z651)+1,0))</f>
        <v/>
      </c>
    </row>
    <row r="653">
      <c r="H653" s="7" t="n"/>
      <c r="I653" s="7" t="n"/>
      <c r="J653" s="7" t="n"/>
      <c r="K653" s="7" t="n"/>
      <c r="M653" s="8" t="n"/>
      <c r="P653" s="9" t="n"/>
      <c r="Q653" s="10" t="n"/>
      <c r="R653" s="10" t="n"/>
      <c r="S653" s="11" t="n"/>
      <c r="U653" s="12">
        <f>IF(OR(H653="",I653=""),"",ROUND(Settings!$B$4/ABS(H653-I653),2))</f>
        <v/>
      </c>
      <c r="V653" s="13">
        <f>IF(M653="","",ROUND(M653*Settings!$B$4,2))</f>
        <v/>
      </c>
      <c r="W653" s="12">
        <f>IF(M653="","",SUM($M$2:M653))</f>
        <v/>
      </c>
      <c r="X653" s="12">
        <f>IF(M653="","",MAX(0,N(X652),W653))</f>
        <v/>
      </c>
      <c r="Y653" s="12">
        <f>IF(M653="","",X653-W653)</f>
        <v/>
      </c>
      <c r="Z653" s="12">
        <f>IF(M653="","",IF(M653&lt;0,N(Z652)+1,0))</f>
        <v/>
      </c>
    </row>
    <row r="654">
      <c r="H654" s="7" t="n"/>
      <c r="I654" s="7" t="n"/>
      <c r="J654" s="7" t="n"/>
      <c r="K654" s="7" t="n"/>
      <c r="M654" s="8" t="n"/>
      <c r="P654" s="9" t="n"/>
      <c r="Q654" s="10" t="n"/>
      <c r="R654" s="10" t="n"/>
      <c r="S654" s="11" t="n"/>
      <c r="U654" s="12">
        <f>IF(OR(H654="",I654=""),"",ROUND(Settings!$B$4/ABS(H654-I654),2))</f>
        <v/>
      </c>
      <c r="V654" s="13">
        <f>IF(M654="","",ROUND(M654*Settings!$B$4,2))</f>
        <v/>
      </c>
      <c r="W654" s="12">
        <f>IF(M654="","",SUM($M$2:M654))</f>
        <v/>
      </c>
      <c r="X654" s="12">
        <f>IF(M654="","",MAX(0,N(X653),W654))</f>
        <v/>
      </c>
      <c r="Y654" s="12">
        <f>IF(M654="","",X654-W654)</f>
        <v/>
      </c>
      <c r="Z654" s="12">
        <f>IF(M654="","",IF(M654&lt;0,N(Z653)+1,0))</f>
        <v/>
      </c>
    </row>
    <row r="655">
      <c r="H655" s="7" t="n"/>
      <c r="I655" s="7" t="n"/>
      <c r="J655" s="7" t="n"/>
      <c r="K655" s="7" t="n"/>
      <c r="M655" s="8" t="n"/>
      <c r="P655" s="9" t="n"/>
      <c r="Q655" s="10" t="n"/>
      <c r="R655" s="10" t="n"/>
      <c r="S655" s="11" t="n"/>
      <c r="U655" s="12">
        <f>IF(OR(H655="",I655=""),"",ROUND(Settings!$B$4/ABS(H655-I655),2))</f>
        <v/>
      </c>
      <c r="V655" s="13">
        <f>IF(M655="","",ROUND(M655*Settings!$B$4,2))</f>
        <v/>
      </c>
      <c r="W655" s="12">
        <f>IF(M655="","",SUM($M$2:M655))</f>
        <v/>
      </c>
      <c r="X655" s="12">
        <f>IF(M655="","",MAX(0,N(X654),W655))</f>
        <v/>
      </c>
      <c r="Y655" s="12">
        <f>IF(M655="","",X655-W655)</f>
        <v/>
      </c>
      <c r="Z655" s="12">
        <f>IF(M655="","",IF(M655&lt;0,N(Z654)+1,0))</f>
        <v/>
      </c>
    </row>
    <row r="656">
      <c r="H656" s="7" t="n"/>
      <c r="I656" s="7" t="n"/>
      <c r="J656" s="7" t="n"/>
      <c r="K656" s="7" t="n"/>
      <c r="M656" s="8" t="n"/>
      <c r="P656" s="9" t="n"/>
      <c r="Q656" s="10" t="n"/>
      <c r="R656" s="10" t="n"/>
      <c r="S656" s="11" t="n"/>
      <c r="U656" s="12">
        <f>IF(OR(H656="",I656=""),"",ROUND(Settings!$B$4/ABS(H656-I656),2))</f>
        <v/>
      </c>
      <c r="V656" s="13">
        <f>IF(M656="","",ROUND(M656*Settings!$B$4,2))</f>
        <v/>
      </c>
      <c r="W656" s="12">
        <f>IF(M656="","",SUM($M$2:M656))</f>
        <v/>
      </c>
      <c r="X656" s="12">
        <f>IF(M656="","",MAX(0,N(X655),W656))</f>
        <v/>
      </c>
      <c r="Y656" s="12">
        <f>IF(M656="","",X656-W656)</f>
        <v/>
      </c>
      <c r="Z656" s="12">
        <f>IF(M656="","",IF(M656&lt;0,N(Z655)+1,0))</f>
        <v/>
      </c>
    </row>
    <row r="657">
      <c r="H657" s="7" t="n"/>
      <c r="I657" s="7" t="n"/>
      <c r="J657" s="7" t="n"/>
      <c r="K657" s="7" t="n"/>
      <c r="M657" s="8" t="n"/>
      <c r="P657" s="9" t="n"/>
      <c r="Q657" s="10" t="n"/>
      <c r="R657" s="10" t="n"/>
      <c r="S657" s="11" t="n"/>
      <c r="U657" s="12">
        <f>IF(OR(H657="",I657=""),"",ROUND(Settings!$B$4/ABS(H657-I657),2))</f>
        <v/>
      </c>
      <c r="V657" s="13">
        <f>IF(M657="","",ROUND(M657*Settings!$B$4,2))</f>
        <v/>
      </c>
      <c r="W657" s="12">
        <f>IF(M657="","",SUM($M$2:M657))</f>
        <v/>
      </c>
      <c r="X657" s="12">
        <f>IF(M657="","",MAX(0,N(X656),W657))</f>
        <v/>
      </c>
      <c r="Y657" s="12">
        <f>IF(M657="","",X657-W657)</f>
        <v/>
      </c>
      <c r="Z657" s="12">
        <f>IF(M657="","",IF(M657&lt;0,N(Z656)+1,0))</f>
        <v/>
      </c>
    </row>
    <row r="658">
      <c r="H658" s="7" t="n"/>
      <c r="I658" s="7" t="n"/>
      <c r="J658" s="7" t="n"/>
      <c r="K658" s="7" t="n"/>
      <c r="M658" s="8" t="n"/>
      <c r="P658" s="9" t="n"/>
      <c r="Q658" s="10" t="n"/>
      <c r="R658" s="10" t="n"/>
      <c r="S658" s="11" t="n"/>
      <c r="U658" s="12">
        <f>IF(OR(H658="",I658=""),"",ROUND(Settings!$B$4/ABS(H658-I658),2))</f>
        <v/>
      </c>
      <c r="V658" s="13">
        <f>IF(M658="","",ROUND(M658*Settings!$B$4,2))</f>
        <v/>
      </c>
      <c r="W658" s="12">
        <f>IF(M658="","",SUM($M$2:M658))</f>
        <v/>
      </c>
      <c r="X658" s="12">
        <f>IF(M658="","",MAX(0,N(X657),W658))</f>
        <v/>
      </c>
      <c r="Y658" s="12">
        <f>IF(M658="","",X658-W658)</f>
        <v/>
      </c>
      <c r="Z658" s="12">
        <f>IF(M658="","",IF(M658&lt;0,N(Z657)+1,0))</f>
        <v/>
      </c>
    </row>
    <row r="659">
      <c r="H659" s="7" t="n"/>
      <c r="I659" s="7" t="n"/>
      <c r="J659" s="7" t="n"/>
      <c r="K659" s="7" t="n"/>
      <c r="M659" s="8" t="n"/>
      <c r="P659" s="9" t="n"/>
      <c r="Q659" s="10" t="n"/>
      <c r="R659" s="10" t="n"/>
      <c r="S659" s="11" t="n"/>
      <c r="U659" s="12">
        <f>IF(OR(H659="",I659=""),"",ROUND(Settings!$B$4/ABS(H659-I659),2))</f>
        <v/>
      </c>
      <c r="V659" s="13">
        <f>IF(M659="","",ROUND(M659*Settings!$B$4,2))</f>
        <v/>
      </c>
      <c r="W659" s="12">
        <f>IF(M659="","",SUM($M$2:M659))</f>
        <v/>
      </c>
      <c r="X659" s="12">
        <f>IF(M659="","",MAX(0,N(X658),W659))</f>
        <v/>
      </c>
      <c r="Y659" s="12">
        <f>IF(M659="","",X659-W659)</f>
        <v/>
      </c>
      <c r="Z659" s="12">
        <f>IF(M659="","",IF(M659&lt;0,N(Z658)+1,0))</f>
        <v/>
      </c>
    </row>
    <row r="660">
      <c r="H660" s="7" t="n"/>
      <c r="I660" s="7" t="n"/>
      <c r="J660" s="7" t="n"/>
      <c r="K660" s="7" t="n"/>
      <c r="M660" s="8" t="n"/>
      <c r="P660" s="9" t="n"/>
      <c r="Q660" s="10" t="n"/>
      <c r="R660" s="10" t="n"/>
      <c r="S660" s="11" t="n"/>
      <c r="U660" s="12">
        <f>IF(OR(H660="",I660=""),"",ROUND(Settings!$B$4/ABS(H660-I660),2))</f>
        <v/>
      </c>
      <c r="V660" s="13">
        <f>IF(M660="","",ROUND(M660*Settings!$B$4,2))</f>
        <v/>
      </c>
      <c r="W660" s="12">
        <f>IF(M660="","",SUM($M$2:M660))</f>
        <v/>
      </c>
      <c r="X660" s="12">
        <f>IF(M660="","",MAX(0,N(X659),W660))</f>
        <v/>
      </c>
      <c r="Y660" s="12">
        <f>IF(M660="","",X660-W660)</f>
        <v/>
      </c>
      <c r="Z660" s="12">
        <f>IF(M660="","",IF(M660&lt;0,N(Z659)+1,0))</f>
        <v/>
      </c>
    </row>
    <row r="661">
      <c r="H661" s="7" t="n"/>
      <c r="I661" s="7" t="n"/>
      <c r="J661" s="7" t="n"/>
      <c r="K661" s="7" t="n"/>
      <c r="M661" s="8" t="n"/>
      <c r="P661" s="9" t="n"/>
      <c r="Q661" s="10" t="n"/>
      <c r="R661" s="10" t="n"/>
      <c r="S661" s="11" t="n"/>
      <c r="U661" s="12">
        <f>IF(OR(H661="",I661=""),"",ROUND(Settings!$B$4/ABS(H661-I661),2))</f>
        <v/>
      </c>
      <c r="V661" s="13">
        <f>IF(M661="","",ROUND(M661*Settings!$B$4,2))</f>
        <v/>
      </c>
      <c r="W661" s="12">
        <f>IF(M661="","",SUM($M$2:M661))</f>
        <v/>
      </c>
      <c r="X661" s="12">
        <f>IF(M661="","",MAX(0,N(X660),W661))</f>
        <v/>
      </c>
      <c r="Y661" s="12">
        <f>IF(M661="","",X661-W661)</f>
        <v/>
      </c>
      <c r="Z661" s="12">
        <f>IF(M661="","",IF(M661&lt;0,N(Z660)+1,0))</f>
        <v/>
      </c>
    </row>
    <row r="662">
      <c r="H662" s="7" t="n"/>
      <c r="I662" s="7" t="n"/>
      <c r="J662" s="7" t="n"/>
      <c r="K662" s="7" t="n"/>
      <c r="M662" s="8" t="n"/>
      <c r="P662" s="9" t="n"/>
      <c r="Q662" s="10" t="n"/>
      <c r="R662" s="10" t="n"/>
      <c r="S662" s="11" t="n"/>
      <c r="U662" s="12">
        <f>IF(OR(H662="",I662=""),"",ROUND(Settings!$B$4/ABS(H662-I662),2))</f>
        <v/>
      </c>
      <c r="V662" s="13">
        <f>IF(M662="","",ROUND(M662*Settings!$B$4,2))</f>
        <v/>
      </c>
      <c r="W662" s="12">
        <f>IF(M662="","",SUM($M$2:M662))</f>
        <v/>
      </c>
      <c r="X662" s="12">
        <f>IF(M662="","",MAX(0,N(X661),W662))</f>
        <v/>
      </c>
      <c r="Y662" s="12">
        <f>IF(M662="","",X662-W662)</f>
        <v/>
      </c>
      <c r="Z662" s="12">
        <f>IF(M662="","",IF(M662&lt;0,N(Z661)+1,0))</f>
        <v/>
      </c>
    </row>
    <row r="663">
      <c r="H663" s="7" t="n"/>
      <c r="I663" s="7" t="n"/>
      <c r="J663" s="7" t="n"/>
      <c r="K663" s="7" t="n"/>
      <c r="M663" s="8" t="n"/>
      <c r="P663" s="9" t="n"/>
      <c r="Q663" s="10" t="n"/>
      <c r="R663" s="10" t="n"/>
      <c r="S663" s="11" t="n"/>
      <c r="U663" s="12">
        <f>IF(OR(H663="",I663=""),"",ROUND(Settings!$B$4/ABS(H663-I663),2))</f>
        <v/>
      </c>
      <c r="V663" s="13">
        <f>IF(M663="","",ROUND(M663*Settings!$B$4,2))</f>
        <v/>
      </c>
      <c r="W663" s="12">
        <f>IF(M663="","",SUM($M$2:M663))</f>
        <v/>
      </c>
      <c r="X663" s="12">
        <f>IF(M663="","",MAX(0,N(X662),W663))</f>
        <v/>
      </c>
      <c r="Y663" s="12">
        <f>IF(M663="","",X663-W663)</f>
        <v/>
      </c>
      <c r="Z663" s="12">
        <f>IF(M663="","",IF(M663&lt;0,N(Z662)+1,0))</f>
        <v/>
      </c>
    </row>
    <row r="664">
      <c r="H664" s="7" t="n"/>
      <c r="I664" s="7" t="n"/>
      <c r="J664" s="7" t="n"/>
      <c r="K664" s="7" t="n"/>
      <c r="M664" s="8" t="n"/>
      <c r="P664" s="9" t="n"/>
      <c r="Q664" s="10" t="n"/>
      <c r="R664" s="10" t="n"/>
      <c r="S664" s="11" t="n"/>
      <c r="U664" s="12">
        <f>IF(OR(H664="",I664=""),"",ROUND(Settings!$B$4/ABS(H664-I664),2))</f>
        <v/>
      </c>
      <c r="V664" s="13">
        <f>IF(M664="","",ROUND(M664*Settings!$B$4,2))</f>
        <v/>
      </c>
      <c r="W664" s="12">
        <f>IF(M664="","",SUM($M$2:M664))</f>
        <v/>
      </c>
      <c r="X664" s="12">
        <f>IF(M664="","",MAX(0,N(X663),W664))</f>
        <v/>
      </c>
      <c r="Y664" s="12">
        <f>IF(M664="","",X664-W664)</f>
        <v/>
      </c>
      <c r="Z664" s="12">
        <f>IF(M664="","",IF(M664&lt;0,N(Z663)+1,0))</f>
        <v/>
      </c>
    </row>
    <row r="665">
      <c r="H665" s="7" t="n"/>
      <c r="I665" s="7" t="n"/>
      <c r="J665" s="7" t="n"/>
      <c r="K665" s="7" t="n"/>
      <c r="M665" s="8" t="n"/>
      <c r="P665" s="9" t="n"/>
      <c r="Q665" s="10" t="n"/>
      <c r="R665" s="10" t="n"/>
      <c r="S665" s="11" t="n"/>
      <c r="U665" s="12">
        <f>IF(OR(H665="",I665=""),"",ROUND(Settings!$B$4/ABS(H665-I665),2))</f>
        <v/>
      </c>
      <c r="V665" s="13">
        <f>IF(M665="","",ROUND(M665*Settings!$B$4,2))</f>
        <v/>
      </c>
      <c r="W665" s="12">
        <f>IF(M665="","",SUM($M$2:M665))</f>
        <v/>
      </c>
      <c r="X665" s="12">
        <f>IF(M665="","",MAX(0,N(X664),W665))</f>
        <v/>
      </c>
      <c r="Y665" s="12">
        <f>IF(M665="","",X665-W665)</f>
        <v/>
      </c>
      <c r="Z665" s="12">
        <f>IF(M665="","",IF(M665&lt;0,N(Z664)+1,0))</f>
        <v/>
      </c>
    </row>
    <row r="666">
      <c r="H666" s="7" t="n"/>
      <c r="I666" s="7" t="n"/>
      <c r="J666" s="7" t="n"/>
      <c r="K666" s="7" t="n"/>
      <c r="M666" s="8" t="n"/>
      <c r="P666" s="9" t="n"/>
      <c r="Q666" s="10" t="n"/>
      <c r="R666" s="10" t="n"/>
      <c r="S666" s="11" t="n"/>
      <c r="U666" s="12">
        <f>IF(OR(H666="",I666=""),"",ROUND(Settings!$B$4/ABS(H666-I666),2))</f>
        <v/>
      </c>
      <c r="V666" s="13">
        <f>IF(M666="","",ROUND(M666*Settings!$B$4,2))</f>
        <v/>
      </c>
      <c r="W666" s="12">
        <f>IF(M666="","",SUM($M$2:M666))</f>
        <v/>
      </c>
      <c r="X666" s="12">
        <f>IF(M666="","",MAX(0,N(X665),W666))</f>
        <v/>
      </c>
      <c r="Y666" s="12">
        <f>IF(M666="","",X666-W666)</f>
        <v/>
      </c>
      <c r="Z666" s="12">
        <f>IF(M666="","",IF(M666&lt;0,N(Z665)+1,0))</f>
        <v/>
      </c>
    </row>
    <row r="667">
      <c r="H667" s="7" t="n"/>
      <c r="I667" s="7" t="n"/>
      <c r="J667" s="7" t="n"/>
      <c r="K667" s="7" t="n"/>
      <c r="M667" s="8" t="n"/>
      <c r="P667" s="9" t="n"/>
      <c r="Q667" s="10" t="n"/>
      <c r="R667" s="10" t="n"/>
      <c r="S667" s="11" t="n"/>
      <c r="U667" s="12">
        <f>IF(OR(H667="",I667=""),"",ROUND(Settings!$B$4/ABS(H667-I667),2))</f>
        <v/>
      </c>
      <c r="V667" s="13">
        <f>IF(M667="","",ROUND(M667*Settings!$B$4,2))</f>
        <v/>
      </c>
      <c r="W667" s="12">
        <f>IF(M667="","",SUM($M$2:M667))</f>
        <v/>
      </c>
      <c r="X667" s="12">
        <f>IF(M667="","",MAX(0,N(X666),W667))</f>
        <v/>
      </c>
      <c r="Y667" s="12">
        <f>IF(M667="","",X667-W667)</f>
        <v/>
      </c>
      <c r="Z667" s="12">
        <f>IF(M667="","",IF(M667&lt;0,N(Z666)+1,0))</f>
        <v/>
      </c>
    </row>
    <row r="668">
      <c r="H668" s="7" t="n"/>
      <c r="I668" s="7" t="n"/>
      <c r="J668" s="7" t="n"/>
      <c r="K668" s="7" t="n"/>
      <c r="M668" s="8" t="n"/>
      <c r="P668" s="9" t="n"/>
      <c r="Q668" s="10" t="n"/>
      <c r="R668" s="10" t="n"/>
      <c r="S668" s="11" t="n"/>
      <c r="U668" s="12">
        <f>IF(OR(H668="",I668=""),"",ROUND(Settings!$B$4/ABS(H668-I668),2))</f>
        <v/>
      </c>
      <c r="V668" s="13">
        <f>IF(M668="","",ROUND(M668*Settings!$B$4,2))</f>
        <v/>
      </c>
      <c r="W668" s="12">
        <f>IF(M668="","",SUM($M$2:M668))</f>
        <v/>
      </c>
      <c r="X668" s="12">
        <f>IF(M668="","",MAX(0,N(X667),W668))</f>
        <v/>
      </c>
      <c r="Y668" s="12">
        <f>IF(M668="","",X668-W668)</f>
        <v/>
      </c>
      <c r="Z668" s="12">
        <f>IF(M668="","",IF(M668&lt;0,N(Z667)+1,0))</f>
        <v/>
      </c>
    </row>
    <row r="669">
      <c r="H669" s="7" t="n"/>
      <c r="I669" s="7" t="n"/>
      <c r="J669" s="7" t="n"/>
      <c r="K669" s="7" t="n"/>
      <c r="M669" s="8" t="n"/>
      <c r="P669" s="9" t="n"/>
      <c r="Q669" s="10" t="n"/>
      <c r="R669" s="10" t="n"/>
      <c r="S669" s="11" t="n"/>
      <c r="U669" s="12">
        <f>IF(OR(H669="",I669=""),"",ROUND(Settings!$B$4/ABS(H669-I669),2))</f>
        <v/>
      </c>
      <c r="V669" s="13">
        <f>IF(M669="","",ROUND(M669*Settings!$B$4,2))</f>
        <v/>
      </c>
      <c r="W669" s="12">
        <f>IF(M669="","",SUM($M$2:M669))</f>
        <v/>
      </c>
      <c r="X669" s="12">
        <f>IF(M669="","",MAX(0,N(X668),W669))</f>
        <v/>
      </c>
      <c r="Y669" s="12">
        <f>IF(M669="","",X669-W669)</f>
        <v/>
      </c>
      <c r="Z669" s="12">
        <f>IF(M669="","",IF(M669&lt;0,N(Z668)+1,0))</f>
        <v/>
      </c>
    </row>
    <row r="670">
      <c r="H670" s="7" t="n"/>
      <c r="I670" s="7" t="n"/>
      <c r="J670" s="7" t="n"/>
      <c r="K670" s="7" t="n"/>
      <c r="M670" s="8" t="n"/>
      <c r="P670" s="9" t="n"/>
      <c r="Q670" s="10" t="n"/>
      <c r="R670" s="10" t="n"/>
      <c r="S670" s="11" t="n"/>
      <c r="U670" s="12">
        <f>IF(OR(H670="",I670=""),"",ROUND(Settings!$B$4/ABS(H670-I670),2))</f>
        <v/>
      </c>
      <c r="V670" s="13">
        <f>IF(M670="","",ROUND(M670*Settings!$B$4,2))</f>
        <v/>
      </c>
      <c r="W670" s="12">
        <f>IF(M670="","",SUM($M$2:M670))</f>
        <v/>
      </c>
      <c r="X670" s="12">
        <f>IF(M670="","",MAX(0,N(X669),W670))</f>
        <v/>
      </c>
      <c r="Y670" s="12">
        <f>IF(M670="","",X670-W670)</f>
        <v/>
      </c>
      <c r="Z670" s="12">
        <f>IF(M670="","",IF(M670&lt;0,N(Z669)+1,0))</f>
        <v/>
      </c>
    </row>
    <row r="671">
      <c r="H671" s="7" t="n"/>
      <c r="I671" s="7" t="n"/>
      <c r="J671" s="7" t="n"/>
      <c r="K671" s="7" t="n"/>
      <c r="M671" s="8" t="n"/>
      <c r="P671" s="9" t="n"/>
      <c r="Q671" s="10" t="n"/>
      <c r="R671" s="10" t="n"/>
      <c r="S671" s="11" t="n"/>
      <c r="U671" s="12">
        <f>IF(OR(H671="",I671=""),"",ROUND(Settings!$B$4/ABS(H671-I671),2))</f>
        <v/>
      </c>
      <c r="V671" s="13">
        <f>IF(M671="","",ROUND(M671*Settings!$B$4,2))</f>
        <v/>
      </c>
      <c r="W671" s="12">
        <f>IF(M671="","",SUM($M$2:M671))</f>
        <v/>
      </c>
      <c r="X671" s="12">
        <f>IF(M671="","",MAX(0,N(X670),W671))</f>
        <v/>
      </c>
      <c r="Y671" s="12">
        <f>IF(M671="","",X671-W671)</f>
        <v/>
      </c>
      <c r="Z671" s="12">
        <f>IF(M671="","",IF(M671&lt;0,N(Z670)+1,0))</f>
        <v/>
      </c>
    </row>
    <row r="672">
      <c r="H672" s="7" t="n"/>
      <c r="I672" s="7" t="n"/>
      <c r="J672" s="7" t="n"/>
      <c r="K672" s="7" t="n"/>
      <c r="M672" s="8" t="n"/>
      <c r="P672" s="9" t="n"/>
      <c r="Q672" s="10" t="n"/>
      <c r="R672" s="10" t="n"/>
      <c r="S672" s="11" t="n"/>
      <c r="U672" s="12">
        <f>IF(OR(H672="",I672=""),"",ROUND(Settings!$B$4/ABS(H672-I672),2))</f>
        <v/>
      </c>
      <c r="V672" s="13">
        <f>IF(M672="","",ROUND(M672*Settings!$B$4,2))</f>
        <v/>
      </c>
      <c r="W672" s="12">
        <f>IF(M672="","",SUM($M$2:M672))</f>
        <v/>
      </c>
      <c r="X672" s="12">
        <f>IF(M672="","",MAX(0,N(X671),W672))</f>
        <v/>
      </c>
      <c r="Y672" s="12">
        <f>IF(M672="","",X672-W672)</f>
        <v/>
      </c>
      <c r="Z672" s="12">
        <f>IF(M672="","",IF(M672&lt;0,N(Z671)+1,0))</f>
        <v/>
      </c>
    </row>
    <row r="673">
      <c r="H673" s="7" t="n"/>
      <c r="I673" s="7" t="n"/>
      <c r="J673" s="7" t="n"/>
      <c r="K673" s="7" t="n"/>
      <c r="M673" s="8" t="n"/>
      <c r="P673" s="9" t="n"/>
      <c r="Q673" s="10" t="n"/>
      <c r="R673" s="10" t="n"/>
      <c r="S673" s="11" t="n"/>
      <c r="U673" s="12">
        <f>IF(OR(H673="",I673=""),"",ROUND(Settings!$B$4/ABS(H673-I673),2))</f>
        <v/>
      </c>
      <c r="V673" s="13">
        <f>IF(M673="","",ROUND(M673*Settings!$B$4,2))</f>
        <v/>
      </c>
      <c r="W673" s="12">
        <f>IF(M673="","",SUM($M$2:M673))</f>
        <v/>
      </c>
      <c r="X673" s="12">
        <f>IF(M673="","",MAX(0,N(X672),W673))</f>
        <v/>
      </c>
      <c r="Y673" s="12">
        <f>IF(M673="","",X673-W673)</f>
        <v/>
      </c>
      <c r="Z673" s="12">
        <f>IF(M673="","",IF(M673&lt;0,N(Z672)+1,0))</f>
        <v/>
      </c>
    </row>
    <row r="674">
      <c r="H674" s="7" t="n"/>
      <c r="I674" s="7" t="n"/>
      <c r="J674" s="7" t="n"/>
      <c r="K674" s="7" t="n"/>
      <c r="M674" s="8" t="n"/>
      <c r="P674" s="9" t="n"/>
      <c r="Q674" s="10" t="n"/>
      <c r="R674" s="10" t="n"/>
      <c r="S674" s="11" t="n"/>
      <c r="U674" s="12">
        <f>IF(OR(H674="",I674=""),"",ROUND(Settings!$B$4/ABS(H674-I674),2))</f>
        <v/>
      </c>
      <c r="V674" s="13">
        <f>IF(M674="","",ROUND(M674*Settings!$B$4,2))</f>
        <v/>
      </c>
      <c r="W674" s="12">
        <f>IF(M674="","",SUM($M$2:M674))</f>
        <v/>
      </c>
      <c r="X674" s="12">
        <f>IF(M674="","",MAX(0,N(X673),W674))</f>
        <v/>
      </c>
      <c r="Y674" s="12">
        <f>IF(M674="","",X674-W674)</f>
        <v/>
      </c>
      <c r="Z674" s="12">
        <f>IF(M674="","",IF(M674&lt;0,N(Z673)+1,0))</f>
        <v/>
      </c>
    </row>
    <row r="675">
      <c r="H675" s="7" t="n"/>
      <c r="I675" s="7" t="n"/>
      <c r="J675" s="7" t="n"/>
      <c r="K675" s="7" t="n"/>
      <c r="M675" s="8" t="n"/>
      <c r="P675" s="9" t="n"/>
      <c r="Q675" s="10" t="n"/>
      <c r="R675" s="10" t="n"/>
      <c r="S675" s="11" t="n"/>
      <c r="U675" s="12">
        <f>IF(OR(H675="",I675=""),"",ROUND(Settings!$B$4/ABS(H675-I675),2))</f>
        <v/>
      </c>
      <c r="V675" s="13">
        <f>IF(M675="","",ROUND(M675*Settings!$B$4,2))</f>
        <v/>
      </c>
      <c r="W675" s="12">
        <f>IF(M675="","",SUM($M$2:M675))</f>
        <v/>
      </c>
      <c r="X675" s="12">
        <f>IF(M675="","",MAX(0,N(X674),W675))</f>
        <v/>
      </c>
      <c r="Y675" s="12">
        <f>IF(M675="","",X675-W675)</f>
        <v/>
      </c>
      <c r="Z675" s="12">
        <f>IF(M675="","",IF(M675&lt;0,N(Z674)+1,0))</f>
        <v/>
      </c>
    </row>
    <row r="676">
      <c r="H676" s="7" t="n"/>
      <c r="I676" s="7" t="n"/>
      <c r="J676" s="7" t="n"/>
      <c r="K676" s="7" t="n"/>
      <c r="M676" s="8" t="n"/>
      <c r="P676" s="9" t="n"/>
      <c r="Q676" s="10" t="n"/>
      <c r="R676" s="10" t="n"/>
      <c r="S676" s="11" t="n"/>
      <c r="U676" s="12">
        <f>IF(OR(H676="",I676=""),"",ROUND(Settings!$B$4/ABS(H676-I676),2))</f>
        <v/>
      </c>
      <c r="V676" s="13">
        <f>IF(M676="","",ROUND(M676*Settings!$B$4,2))</f>
        <v/>
      </c>
      <c r="W676" s="12">
        <f>IF(M676="","",SUM($M$2:M676))</f>
        <v/>
      </c>
      <c r="X676" s="12">
        <f>IF(M676="","",MAX(0,N(X675),W676))</f>
        <v/>
      </c>
      <c r="Y676" s="12">
        <f>IF(M676="","",X676-W676)</f>
        <v/>
      </c>
      <c r="Z676" s="12">
        <f>IF(M676="","",IF(M676&lt;0,N(Z675)+1,0))</f>
        <v/>
      </c>
    </row>
    <row r="677">
      <c r="H677" s="7" t="n"/>
      <c r="I677" s="7" t="n"/>
      <c r="J677" s="7" t="n"/>
      <c r="K677" s="7" t="n"/>
      <c r="M677" s="8" t="n"/>
      <c r="P677" s="9" t="n"/>
      <c r="Q677" s="10" t="n"/>
      <c r="R677" s="10" t="n"/>
      <c r="S677" s="11" t="n"/>
      <c r="U677" s="12">
        <f>IF(OR(H677="",I677=""),"",ROUND(Settings!$B$4/ABS(H677-I677),2))</f>
        <v/>
      </c>
      <c r="V677" s="13">
        <f>IF(M677="","",ROUND(M677*Settings!$B$4,2))</f>
        <v/>
      </c>
      <c r="W677" s="12">
        <f>IF(M677="","",SUM($M$2:M677))</f>
        <v/>
      </c>
      <c r="X677" s="12">
        <f>IF(M677="","",MAX(0,N(X676),W677))</f>
        <v/>
      </c>
      <c r="Y677" s="12">
        <f>IF(M677="","",X677-W677)</f>
        <v/>
      </c>
      <c r="Z677" s="12">
        <f>IF(M677="","",IF(M677&lt;0,N(Z676)+1,0))</f>
        <v/>
      </c>
    </row>
    <row r="678">
      <c r="H678" s="7" t="n"/>
      <c r="I678" s="7" t="n"/>
      <c r="J678" s="7" t="n"/>
      <c r="K678" s="7" t="n"/>
      <c r="M678" s="8" t="n"/>
      <c r="P678" s="9" t="n"/>
      <c r="Q678" s="10" t="n"/>
      <c r="R678" s="10" t="n"/>
      <c r="S678" s="11" t="n"/>
      <c r="U678" s="12">
        <f>IF(OR(H678="",I678=""),"",ROUND(Settings!$B$4/ABS(H678-I678),2))</f>
        <v/>
      </c>
      <c r="V678" s="13">
        <f>IF(M678="","",ROUND(M678*Settings!$B$4,2))</f>
        <v/>
      </c>
      <c r="W678" s="12">
        <f>IF(M678="","",SUM($M$2:M678))</f>
        <v/>
      </c>
      <c r="X678" s="12">
        <f>IF(M678="","",MAX(0,N(X677),W678))</f>
        <v/>
      </c>
      <c r="Y678" s="12">
        <f>IF(M678="","",X678-W678)</f>
        <v/>
      </c>
      <c r="Z678" s="12">
        <f>IF(M678="","",IF(M678&lt;0,N(Z677)+1,0))</f>
        <v/>
      </c>
    </row>
    <row r="679">
      <c r="H679" s="7" t="n"/>
      <c r="I679" s="7" t="n"/>
      <c r="J679" s="7" t="n"/>
      <c r="K679" s="7" t="n"/>
      <c r="M679" s="8" t="n"/>
      <c r="P679" s="9" t="n"/>
      <c r="Q679" s="10" t="n"/>
      <c r="R679" s="10" t="n"/>
      <c r="S679" s="11" t="n"/>
      <c r="U679" s="12">
        <f>IF(OR(H679="",I679=""),"",ROUND(Settings!$B$4/ABS(H679-I679),2))</f>
        <v/>
      </c>
      <c r="V679" s="13">
        <f>IF(M679="","",ROUND(M679*Settings!$B$4,2))</f>
        <v/>
      </c>
      <c r="W679" s="12">
        <f>IF(M679="","",SUM($M$2:M679))</f>
        <v/>
      </c>
      <c r="X679" s="12">
        <f>IF(M679="","",MAX(0,N(X678),W679))</f>
        <v/>
      </c>
      <c r="Y679" s="12">
        <f>IF(M679="","",X679-W679)</f>
        <v/>
      </c>
      <c r="Z679" s="12">
        <f>IF(M679="","",IF(M679&lt;0,N(Z678)+1,0))</f>
        <v/>
      </c>
    </row>
    <row r="680">
      <c r="H680" s="7" t="n"/>
      <c r="I680" s="7" t="n"/>
      <c r="J680" s="7" t="n"/>
      <c r="K680" s="7" t="n"/>
      <c r="M680" s="8" t="n"/>
      <c r="P680" s="9" t="n"/>
      <c r="Q680" s="10" t="n"/>
      <c r="R680" s="10" t="n"/>
      <c r="S680" s="11" t="n"/>
      <c r="U680" s="12">
        <f>IF(OR(H680="",I680=""),"",ROUND(Settings!$B$4/ABS(H680-I680),2))</f>
        <v/>
      </c>
      <c r="V680" s="13">
        <f>IF(M680="","",ROUND(M680*Settings!$B$4,2))</f>
        <v/>
      </c>
      <c r="W680" s="12">
        <f>IF(M680="","",SUM($M$2:M680))</f>
        <v/>
      </c>
      <c r="X680" s="12">
        <f>IF(M680="","",MAX(0,N(X679),W680))</f>
        <v/>
      </c>
      <c r="Y680" s="12">
        <f>IF(M680="","",X680-W680)</f>
        <v/>
      </c>
      <c r="Z680" s="12">
        <f>IF(M680="","",IF(M680&lt;0,N(Z679)+1,0))</f>
        <v/>
      </c>
    </row>
    <row r="681">
      <c r="H681" s="7" t="n"/>
      <c r="I681" s="7" t="n"/>
      <c r="J681" s="7" t="n"/>
      <c r="K681" s="7" t="n"/>
      <c r="M681" s="8" t="n"/>
      <c r="P681" s="9" t="n"/>
      <c r="Q681" s="10" t="n"/>
      <c r="R681" s="10" t="n"/>
      <c r="S681" s="11" t="n"/>
      <c r="U681" s="12">
        <f>IF(OR(H681="",I681=""),"",ROUND(Settings!$B$4/ABS(H681-I681),2))</f>
        <v/>
      </c>
      <c r="V681" s="13">
        <f>IF(M681="","",ROUND(M681*Settings!$B$4,2))</f>
        <v/>
      </c>
      <c r="W681" s="12">
        <f>IF(M681="","",SUM($M$2:M681))</f>
        <v/>
      </c>
      <c r="X681" s="12">
        <f>IF(M681="","",MAX(0,N(X680),W681))</f>
        <v/>
      </c>
      <c r="Y681" s="12">
        <f>IF(M681="","",X681-W681)</f>
        <v/>
      </c>
      <c r="Z681" s="12">
        <f>IF(M681="","",IF(M681&lt;0,N(Z680)+1,0))</f>
        <v/>
      </c>
    </row>
    <row r="682">
      <c r="H682" s="7" t="n"/>
      <c r="I682" s="7" t="n"/>
      <c r="J682" s="7" t="n"/>
      <c r="K682" s="7" t="n"/>
      <c r="M682" s="8" t="n"/>
      <c r="P682" s="9" t="n"/>
      <c r="Q682" s="10" t="n"/>
      <c r="R682" s="10" t="n"/>
      <c r="S682" s="11" t="n"/>
      <c r="U682" s="12">
        <f>IF(OR(H682="",I682=""),"",ROUND(Settings!$B$4/ABS(H682-I682),2))</f>
        <v/>
      </c>
      <c r="V682" s="13">
        <f>IF(M682="","",ROUND(M682*Settings!$B$4,2))</f>
        <v/>
      </c>
      <c r="W682" s="12">
        <f>IF(M682="","",SUM($M$2:M682))</f>
        <v/>
      </c>
      <c r="X682" s="12">
        <f>IF(M682="","",MAX(0,N(X681),W682))</f>
        <v/>
      </c>
      <c r="Y682" s="12">
        <f>IF(M682="","",X682-W682)</f>
        <v/>
      </c>
      <c r="Z682" s="12">
        <f>IF(M682="","",IF(M682&lt;0,N(Z681)+1,0))</f>
        <v/>
      </c>
    </row>
    <row r="683">
      <c r="H683" s="7" t="n"/>
      <c r="I683" s="7" t="n"/>
      <c r="J683" s="7" t="n"/>
      <c r="K683" s="7" t="n"/>
      <c r="M683" s="8" t="n"/>
      <c r="P683" s="9" t="n"/>
      <c r="Q683" s="10" t="n"/>
      <c r="R683" s="10" t="n"/>
      <c r="S683" s="11" t="n"/>
      <c r="U683" s="12">
        <f>IF(OR(H683="",I683=""),"",ROUND(Settings!$B$4/ABS(H683-I683),2))</f>
        <v/>
      </c>
      <c r="V683" s="13">
        <f>IF(M683="","",ROUND(M683*Settings!$B$4,2))</f>
        <v/>
      </c>
      <c r="W683" s="12">
        <f>IF(M683="","",SUM($M$2:M683))</f>
        <v/>
      </c>
      <c r="X683" s="12">
        <f>IF(M683="","",MAX(0,N(X682),W683))</f>
        <v/>
      </c>
      <c r="Y683" s="12">
        <f>IF(M683="","",X683-W683)</f>
        <v/>
      </c>
      <c r="Z683" s="12">
        <f>IF(M683="","",IF(M683&lt;0,N(Z682)+1,0))</f>
        <v/>
      </c>
    </row>
    <row r="684">
      <c r="H684" s="7" t="n"/>
      <c r="I684" s="7" t="n"/>
      <c r="J684" s="7" t="n"/>
      <c r="K684" s="7" t="n"/>
      <c r="M684" s="8" t="n"/>
      <c r="P684" s="9" t="n"/>
      <c r="Q684" s="10" t="n"/>
      <c r="R684" s="10" t="n"/>
      <c r="S684" s="11" t="n"/>
      <c r="U684" s="12">
        <f>IF(OR(H684="",I684=""),"",ROUND(Settings!$B$4/ABS(H684-I684),2))</f>
        <v/>
      </c>
      <c r="V684" s="13">
        <f>IF(M684="","",ROUND(M684*Settings!$B$4,2))</f>
        <v/>
      </c>
      <c r="W684" s="12">
        <f>IF(M684="","",SUM($M$2:M684))</f>
        <v/>
      </c>
      <c r="X684" s="12">
        <f>IF(M684="","",MAX(0,N(X683),W684))</f>
        <v/>
      </c>
      <c r="Y684" s="12">
        <f>IF(M684="","",X684-W684)</f>
        <v/>
      </c>
      <c r="Z684" s="12">
        <f>IF(M684="","",IF(M684&lt;0,N(Z683)+1,0))</f>
        <v/>
      </c>
    </row>
    <row r="685">
      <c r="H685" s="7" t="n"/>
      <c r="I685" s="7" t="n"/>
      <c r="J685" s="7" t="n"/>
      <c r="K685" s="7" t="n"/>
      <c r="M685" s="8" t="n"/>
      <c r="P685" s="9" t="n"/>
      <c r="Q685" s="10" t="n"/>
      <c r="R685" s="10" t="n"/>
      <c r="S685" s="11" t="n"/>
      <c r="U685" s="12">
        <f>IF(OR(H685="",I685=""),"",ROUND(Settings!$B$4/ABS(H685-I685),2))</f>
        <v/>
      </c>
      <c r="V685" s="13">
        <f>IF(M685="","",ROUND(M685*Settings!$B$4,2))</f>
        <v/>
      </c>
      <c r="W685" s="12">
        <f>IF(M685="","",SUM($M$2:M685))</f>
        <v/>
      </c>
      <c r="X685" s="12">
        <f>IF(M685="","",MAX(0,N(X684),W685))</f>
        <v/>
      </c>
      <c r="Y685" s="12">
        <f>IF(M685="","",X685-W685)</f>
        <v/>
      </c>
      <c r="Z685" s="12">
        <f>IF(M685="","",IF(M685&lt;0,N(Z684)+1,0))</f>
        <v/>
      </c>
    </row>
    <row r="686">
      <c r="H686" s="7" t="n"/>
      <c r="I686" s="7" t="n"/>
      <c r="J686" s="7" t="n"/>
      <c r="K686" s="7" t="n"/>
      <c r="M686" s="8" t="n"/>
      <c r="P686" s="9" t="n"/>
      <c r="Q686" s="10" t="n"/>
      <c r="R686" s="10" t="n"/>
      <c r="S686" s="11" t="n"/>
      <c r="U686" s="12">
        <f>IF(OR(H686="",I686=""),"",ROUND(Settings!$B$4/ABS(H686-I686),2))</f>
        <v/>
      </c>
      <c r="V686" s="13">
        <f>IF(M686="","",ROUND(M686*Settings!$B$4,2))</f>
        <v/>
      </c>
      <c r="W686" s="12">
        <f>IF(M686="","",SUM($M$2:M686))</f>
        <v/>
      </c>
      <c r="X686" s="12">
        <f>IF(M686="","",MAX(0,N(X685),W686))</f>
        <v/>
      </c>
      <c r="Y686" s="12">
        <f>IF(M686="","",X686-W686)</f>
        <v/>
      </c>
      <c r="Z686" s="12">
        <f>IF(M686="","",IF(M686&lt;0,N(Z685)+1,0))</f>
        <v/>
      </c>
    </row>
    <row r="687">
      <c r="H687" s="7" t="n"/>
      <c r="I687" s="7" t="n"/>
      <c r="J687" s="7" t="n"/>
      <c r="K687" s="7" t="n"/>
      <c r="M687" s="8" t="n"/>
      <c r="P687" s="9" t="n"/>
      <c r="Q687" s="10" t="n"/>
      <c r="R687" s="10" t="n"/>
      <c r="S687" s="11" t="n"/>
      <c r="U687" s="12">
        <f>IF(OR(H687="",I687=""),"",ROUND(Settings!$B$4/ABS(H687-I687),2))</f>
        <v/>
      </c>
      <c r="V687" s="13">
        <f>IF(M687="","",ROUND(M687*Settings!$B$4,2))</f>
        <v/>
      </c>
      <c r="W687" s="12">
        <f>IF(M687="","",SUM($M$2:M687))</f>
        <v/>
      </c>
      <c r="X687" s="12">
        <f>IF(M687="","",MAX(0,N(X686),W687))</f>
        <v/>
      </c>
      <c r="Y687" s="12">
        <f>IF(M687="","",X687-W687)</f>
        <v/>
      </c>
      <c r="Z687" s="12">
        <f>IF(M687="","",IF(M687&lt;0,N(Z686)+1,0))</f>
        <v/>
      </c>
    </row>
    <row r="688">
      <c r="H688" s="7" t="n"/>
      <c r="I688" s="7" t="n"/>
      <c r="J688" s="7" t="n"/>
      <c r="K688" s="7" t="n"/>
      <c r="M688" s="8" t="n"/>
      <c r="P688" s="9" t="n"/>
      <c r="Q688" s="10" t="n"/>
      <c r="R688" s="10" t="n"/>
      <c r="S688" s="11" t="n"/>
      <c r="U688" s="12">
        <f>IF(OR(H688="",I688=""),"",ROUND(Settings!$B$4/ABS(H688-I688),2))</f>
        <v/>
      </c>
      <c r="V688" s="13">
        <f>IF(M688="","",ROUND(M688*Settings!$B$4,2))</f>
        <v/>
      </c>
      <c r="W688" s="12">
        <f>IF(M688="","",SUM($M$2:M688))</f>
        <v/>
      </c>
      <c r="X688" s="12">
        <f>IF(M688="","",MAX(0,N(X687),W688))</f>
        <v/>
      </c>
      <c r="Y688" s="12">
        <f>IF(M688="","",X688-W688)</f>
        <v/>
      </c>
      <c r="Z688" s="12">
        <f>IF(M688="","",IF(M688&lt;0,N(Z687)+1,0))</f>
        <v/>
      </c>
    </row>
    <row r="689">
      <c r="H689" s="7" t="n"/>
      <c r="I689" s="7" t="n"/>
      <c r="J689" s="7" t="n"/>
      <c r="K689" s="7" t="n"/>
      <c r="M689" s="8" t="n"/>
      <c r="P689" s="9" t="n"/>
      <c r="Q689" s="10" t="n"/>
      <c r="R689" s="10" t="n"/>
      <c r="S689" s="11" t="n"/>
      <c r="U689" s="12">
        <f>IF(OR(H689="",I689=""),"",ROUND(Settings!$B$4/ABS(H689-I689),2))</f>
        <v/>
      </c>
      <c r="V689" s="13">
        <f>IF(M689="","",ROUND(M689*Settings!$B$4,2))</f>
        <v/>
      </c>
      <c r="W689" s="12">
        <f>IF(M689="","",SUM($M$2:M689))</f>
        <v/>
      </c>
      <c r="X689" s="12">
        <f>IF(M689="","",MAX(0,N(X688),W689))</f>
        <v/>
      </c>
      <c r="Y689" s="12">
        <f>IF(M689="","",X689-W689)</f>
        <v/>
      </c>
      <c r="Z689" s="12">
        <f>IF(M689="","",IF(M689&lt;0,N(Z688)+1,0))</f>
        <v/>
      </c>
    </row>
    <row r="690">
      <c r="H690" s="7" t="n"/>
      <c r="I690" s="7" t="n"/>
      <c r="J690" s="7" t="n"/>
      <c r="K690" s="7" t="n"/>
      <c r="M690" s="8" t="n"/>
      <c r="P690" s="9" t="n"/>
      <c r="Q690" s="10" t="n"/>
      <c r="R690" s="10" t="n"/>
      <c r="S690" s="11" t="n"/>
      <c r="U690" s="12">
        <f>IF(OR(H690="",I690=""),"",ROUND(Settings!$B$4/ABS(H690-I690),2))</f>
        <v/>
      </c>
      <c r="V690" s="13">
        <f>IF(M690="","",ROUND(M690*Settings!$B$4,2))</f>
        <v/>
      </c>
      <c r="W690" s="12">
        <f>IF(M690="","",SUM($M$2:M690))</f>
        <v/>
      </c>
      <c r="X690" s="12">
        <f>IF(M690="","",MAX(0,N(X689),W690))</f>
        <v/>
      </c>
      <c r="Y690" s="12">
        <f>IF(M690="","",X690-W690)</f>
        <v/>
      </c>
      <c r="Z690" s="12">
        <f>IF(M690="","",IF(M690&lt;0,N(Z689)+1,0))</f>
        <v/>
      </c>
    </row>
    <row r="691">
      <c r="H691" s="7" t="n"/>
      <c r="I691" s="7" t="n"/>
      <c r="J691" s="7" t="n"/>
      <c r="K691" s="7" t="n"/>
      <c r="M691" s="8" t="n"/>
      <c r="P691" s="9" t="n"/>
      <c r="Q691" s="10" t="n"/>
      <c r="R691" s="10" t="n"/>
      <c r="S691" s="11" t="n"/>
      <c r="U691" s="12">
        <f>IF(OR(H691="",I691=""),"",ROUND(Settings!$B$4/ABS(H691-I691),2))</f>
        <v/>
      </c>
      <c r="V691" s="13">
        <f>IF(M691="","",ROUND(M691*Settings!$B$4,2))</f>
        <v/>
      </c>
      <c r="W691" s="12">
        <f>IF(M691="","",SUM($M$2:M691))</f>
        <v/>
      </c>
      <c r="X691" s="12">
        <f>IF(M691="","",MAX(0,N(X690),W691))</f>
        <v/>
      </c>
      <c r="Y691" s="12">
        <f>IF(M691="","",X691-W691)</f>
        <v/>
      </c>
      <c r="Z691" s="12">
        <f>IF(M691="","",IF(M691&lt;0,N(Z690)+1,0))</f>
        <v/>
      </c>
    </row>
    <row r="692">
      <c r="H692" s="7" t="n"/>
      <c r="I692" s="7" t="n"/>
      <c r="J692" s="7" t="n"/>
      <c r="K692" s="7" t="n"/>
      <c r="M692" s="8" t="n"/>
      <c r="P692" s="9" t="n"/>
      <c r="Q692" s="10" t="n"/>
      <c r="R692" s="10" t="n"/>
      <c r="S692" s="11" t="n"/>
      <c r="U692" s="12">
        <f>IF(OR(H692="",I692=""),"",ROUND(Settings!$B$4/ABS(H692-I692),2))</f>
        <v/>
      </c>
      <c r="V692" s="13">
        <f>IF(M692="","",ROUND(M692*Settings!$B$4,2))</f>
        <v/>
      </c>
      <c r="W692" s="12">
        <f>IF(M692="","",SUM($M$2:M692))</f>
        <v/>
      </c>
      <c r="X692" s="12">
        <f>IF(M692="","",MAX(0,N(X691),W692))</f>
        <v/>
      </c>
      <c r="Y692" s="12">
        <f>IF(M692="","",X692-W692)</f>
        <v/>
      </c>
      <c r="Z692" s="12">
        <f>IF(M692="","",IF(M692&lt;0,N(Z691)+1,0))</f>
        <v/>
      </c>
    </row>
    <row r="693">
      <c r="H693" s="7" t="n"/>
      <c r="I693" s="7" t="n"/>
      <c r="J693" s="7" t="n"/>
      <c r="K693" s="7" t="n"/>
      <c r="M693" s="8" t="n"/>
      <c r="P693" s="9" t="n"/>
      <c r="Q693" s="10" t="n"/>
      <c r="R693" s="10" t="n"/>
      <c r="S693" s="11" t="n"/>
      <c r="U693" s="12">
        <f>IF(OR(H693="",I693=""),"",ROUND(Settings!$B$4/ABS(H693-I693),2))</f>
        <v/>
      </c>
      <c r="V693" s="13">
        <f>IF(M693="","",ROUND(M693*Settings!$B$4,2))</f>
        <v/>
      </c>
      <c r="W693" s="12">
        <f>IF(M693="","",SUM($M$2:M693))</f>
        <v/>
      </c>
      <c r="X693" s="12">
        <f>IF(M693="","",MAX(0,N(X692),W693))</f>
        <v/>
      </c>
      <c r="Y693" s="12">
        <f>IF(M693="","",X693-W693)</f>
        <v/>
      </c>
      <c r="Z693" s="12">
        <f>IF(M693="","",IF(M693&lt;0,N(Z692)+1,0))</f>
        <v/>
      </c>
    </row>
    <row r="694">
      <c r="H694" s="7" t="n"/>
      <c r="I694" s="7" t="n"/>
      <c r="J694" s="7" t="n"/>
      <c r="K694" s="7" t="n"/>
      <c r="M694" s="8" t="n"/>
      <c r="P694" s="9" t="n"/>
      <c r="Q694" s="10" t="n"/>
      <c r="R694" s="10" t="n"/>
      <c r="S694" s="11" t="n"/>
      <c r="U694" s="12">
        <f>IF(OR(H694="",I694=""),"",ROUND(Settings!$B$4/ABS(H694-I694),2))</f>
        <v/>
      </c>
      <c r="V694" s="13">
        <f>IF(M694="","",ROUND(M694*Settings!$B$4,2))</f>
        <v/>
      </c>
      <c r="W694" s="12">
        <f>IF(M694="","",SUM($M$2:M694))</f>
        <v/>
      </c>
      <c r="X694" s="12">
        <f>IF(M694="","",MAX(0,N(X693),W694))</f>
        <v/>
      </c>
      <c r="Y694" s="12">
        <f>IF(M694="","",X694-W694)</f>
        <v/>
      </c>
      <c r="Z694" s="12">
        <f>IF(M694="","",IF(M694&lt;0,N(Z693)+1,0))</f>
        <v/>
      </c>
    </row>
    <row r="695">
      <c r="H695" s="7" t="n"/>
      <c r="I695" s="7" t="n"/>
      <c r="J695" s="7" t="n"/>
      <c r="K695" s="7" t="n"/>
      <c r="M695" s="8" t="n"/>
      <c r="P695" s="9" t="n"/>
      <c r="Q695" s="10" t="n"/>
      <c r="R695" s="10" t="n"/>
      <c r="S695" s="11" t="n"/>
      <c r="U695" s="12">
        <f>IF(OR(H695="",I695=""),"",ROUND(Settings!$B$4/ABS(H695-I695),2))</f>
        <v/>
      </c>
      <c r="V695" s="13">
        <f>IF(M695="","",ROUND(M695*Settings!$B$4,2))</f>
        <v/>
      </c>
      <c r="W695" s="12">
        <f>IF(M695="","",SUM($M$2:M695))</f>
        <v/>
      </c>
      <c r="X695" s="12">
        <f>IF(M695="","",MAX(0,N(X694),W695))</f>
        <v/>
      </c>
      <c r="Y695" s="12">
        <f>IF(M695="","",X695-W695)</f>
        <v/>
      </c>
      <c r="Z695" s="12">
        <f>IF(M695="","",IF(M695&lt;0,N(Z694)+1,0))</f>
        <v/>
      </c>
    </row>
    <row r="696">
      <c r="H696" s="7" t="n"/>
      <c r="I696" s="7" t="n"/>
      <c r="J696" s="7" t="n"/>
      <c r="K696" s="7" t="n"/>
      <c r="M696" s="8" t="n"/>
      <c r="P696" s="9" t="n"/>
      <c r="Q696" s="10" t="n"/>
      <c r="R696" s="10" t="n"/>
      <c r="S696" s="11" t="n"/>
      <c r="U696" s="12">
        <f>IF(OR(H696="",I696=""),"",ROUND(Settings!$B$4/ABS(H696-I696),2))</f>
        <v/>
      </c>
      <c r="V696" s="13">
        <f>IF(M696="","",ROUND(M696*Settings!$B$4,2))</f>
        <v/>
      </c>
      <c r="W696" s="12">
        <f>IF(M696="","",SUM($M$2:M696))</f>
        <v/>
      </c>
      <c r="X696" s="12">
        <f>IF(M696="","",MAX(0,N(X695),W696))</f>
        <v/>
      </c>
      <c r="Y696" s="12">
        <f>IF(M696="","",X696-W696)</f>
        <v/>
      </c>
      <c r="Z696" s="12">
        <f>IF(M696="","",IF(M696&lt;0,N(Z695)+1,0))</f>
        <v/>
      </c>
    </row>
    <row r="697">
      <c r="H697" s="7" t="n"/>
      <c r="I697" s="7" t="n"/>
      <c r="J697" s="7" t="n"/>
      <c r="K697" s="7" t="n"/>
      <c r="M697" s="8" t="n"/>
      <c r="P697" s="9" t="n"/>
      <c r="Q697" s="10" t="n"/>
      <c r="R697" s="10" t="n"/>
      <c r="S697" s="11" t="n"/>
      <c r="U697" s="12">
        <f>IF(OR(H697="",I697=""),"",ROUND(Settings!$B$4/ABS(H697-I697),2))</f>
        <v/>
      </c>
      <c r="V697" s="13">
        <f>IF(M697="","",ROUND(M697*Settings!$B$4,2))</f>
        <v/>
      </c>
      <c r="W697" s="12">
        <f>IF(M697="","",SUM($M$2:M697))</f>
        <v/>
      </c>
      <c r="X697" s="12">
        <f>IF(M697="","",MAX(0,N(X696),W697))</f>
        <v/>
      </c>
      <c r="Y697" s="12">
        <f>IF(M697="","",X697-W697)</f>
        <v/>
      </c>
      <c r="Z697" s="12">
        <f>IF(M697="","",IF(M697&lt;0,N(Z696)+1,0))</f>
        <v/>
      </c>
    </row>
    <row r="698">
      <c r="H698" s="7" t="n"/>
      <c r="I698" s="7" t="n"/>
      <c r="J698" s="7" t="n"/>
      <c r="K698" s="7" t="n"/>
      <c r="M698" s="8" t="n"/>
      <c r="P698" s="9" t="n"/>
      <c r="Q698" s="10" t="n"/>
      <c r="R698" s="10" t="n"/>
      <c r="S698" s="11" t="n"/>
      <c r="U698" s="12">
        <f>IF(OR(H698="",I698=""),"",ROUND(Settings!$B$4/ABS(H698-I698),2))</f>
        <v/>
      </c>
      <c r="V698" s="13">
        <f>IF(M698="","",ROUND(M698*Settings!$B$4,2))</f>
        <v/>
      </c>
      <c r="W698" s="12">
        <f>IF(M698="","",SUM($M$2:M698))</f>
        <v/>
      </c>
      <c r="X698" s="12">
        <f>IF(M698="","",MAX(0,N(X697),W698))</f>
        <v/>
      </c>
      <c r="Y698" s="12">
        <f>IF(M698="","",X698-W698)</f>
        <v/>
      </c>
      <c r="Z698" s="12">
        <f>IF(M698="","",IF(M698&lt;0,N(Z697)+1,0))</f>
        <v/>
      </c>
    </row>
    <row r="699">
      <c r="H699" s="7" t="n"/>
      <c r="I699" s="7" t="n"/>
      <c r="J699" s="7" t="n"/>
      <c r="K699" s="7" t="n"/>
      <c r="M699" s="8" t="n"/>
      <c r="P699" s="9" t="n"/>
      <c r="Q699" s="10" t="n"/>
      <c r="R699" s="10" t="n"/>
      <c r="S699" s="11" t="n"/>
      <c r="U699" s="12">
        <f>IF(OR(H699="",I699=""),"",ROUND(Settings!$B$4/ABS(H699-I699),2))</f>
        <v/>
      </c>
      <c r="V699" s="13">
        <f>IF(M699="","",ROUND(M699*Settings!$B$4,2))</f>
        <v/>
      </c>
      <c r="W699" s="12">
        <f>IF(M699="","",SUM($M$2:M699))</f>
        <v/>
      </c>
      <c r="X699" s="12">
        <f>IF(M699="","",MAX(0,N(X698),W699))</f>
        <v/>
      </c>
      <c r="Y699" s="12">
        <f>IF(M699="","",X699-W699)</f>
        <v/>
      </c>
      <c r="Z699" s="12">
        <f>IF(M699="","",IF(M699&lt;0,N(Z698)+1,0))</f>
        <v/>
      </c>
    </row>
    <row r="700">
      <c r="H700" s="7" t="n"/>
      <c r="I700" s="7" t="n"/>
      <c r="J700" s="7" t="n"/>
      <c r="K700" s="7" t="n"/>
      <c r="M700" s="8" t="n"/>
      <c r="P700" s="9" t="n"/>
      <c r="Q700" s="10" t="n"/>
      <c r="R700" s="10" t="n"/>
      <c r="S700" s="11" t="n"/>
      <c r="U700" s="12">
        <f>IF(OR(H700="",I700=""),"",ROUND(Settings!$B$4/ABS(H700-I700),2))</f>
        <v/>
      </c>
      <c r="V700" s="13">
        <f>IF(M700="","",ROUND(M700*Settings!$B$4,2))</f>
        <v/>
      </c>
      <c r="W700" s="12">
        <f>IF(M700="","",SUM($M$2:M700))</f>
        <v/>
      </c>
      <c r="X700" s="12">
        <f>IF(M700="","",MAX(0,N(X699),W700))</f>
        <v/>
      </c>
      <c r="Y700" s="12">
        <f>IF(M700="","",X700-W700)</f>
        <v/>
      </c>
      <c r="Z700" s="12">
        <f>IF(M700="","",IF(M700&lt;0,N(Z699)+1,0))</f>
        <v/>
      </c>
    </row>
    <row r="701">
      <c r="H701" s="7" t="n"/>
      <c r="I701" s="7" t="n"/>
      <c r="J701" s="7" t="n"/>
      <c r="K701" s="7" t="n"/>
      <c r="M701" s="8" t="n"/>
      <c r="P701" s="9" t="n"/>
      <c r="Q701" s="10" t="n"/>
      <c r="R701" s="10" t="n"/>
      <c r="S701" s="11" t="n"/>
      <c r="U701" s="12">
        <f>IF(OR(H701="",I701=""),"",ROUND(Settings!$B$4/ABS(H701-I701),2))</f>
        <v/>
      </c>
      <c r="V701" s="13">
        <f>IF(M701="","",ROUND(M701*Settings!$B$4,2))</f>
        <v/>
      </c>
      <c r="W701" s="12">
        <f>IF(M701="","",SUM($M$2:M701))</f>
        <v/>
      </c>
      <c r="X701" s="12">
        <f>IF(M701="","",MAX(0,N(X700),W701))</f>
        <v/>
      </c>
      <c r="Y701" s="12">
        <f>IF(M701="","",X701-W701)</f>
        <v/>
      </c>
      <c r="Z701" s="12">
        <f>IF(M701="","",IF(M701&lt;0,N(Z700)+1,0))</f>
        <v/>
      </c>
    </row>
    <row r="702">
      <c r="H702" s="7" t="n"/>
      <c r="I702" s="7" t="n"/>
      <c r="J702" s="7" t="n"/>
      <c r="K702" s="7" t="n"/>
      <c r="M702" s="8" t="n"/>
      <c r="P702" s="9" t="n"/>
      <c r="Q702" s="10" t="n"/>
      <c r="R702" s="10" t="n"/>
      <c r="S702" s="11" t="n"/>
      <c r="U702" s="12">
        <f>IF(OR(H702="",I702=""),"",ROUND(Settings!$B$4/ABS(H702-I702),2))</f>
        <v/>
      </c>
      <c r="V702" s="13">
        <f>IF(M702="","",ROUND(M702*Settings!$B$4,2))</f>
        <v/>
      </c>
      <c r="W702" s="12">
        <f>IF(M702="","",SUM($M$2:M702))</f>
        <v/>
      </c>
      <c r="X702" s="12">
        <f>IF(M702="","",MAX(0,N(X701),W702))</f>
        <v/>
      </c>
      <c r="Y702" s="12">
        <f>IF(M702="","",X702-W702)</f>
        <v/>
      </c>
      <c r="Z702" s="12">
        <f>IF(M702="","",IF(M702&lt;0,N(Z701)+1,0))</f>
        <v/>
      </c>
    </row>
    <row r="703">
      <c r="H703" s="7" t="n"/>
      <c r="I703" s="7" t="n"/>
      <c r="J703" s="7" t="n"/>
      <c r="K703" s="7" t="n"/>
      <c r="M703" s="8" t="n"/>
      <c r="P703" s="9" t="n"/>
      <c r="Q703" s="10" t="n"/>
      <c r="R703" s="10" t="n"/>
      <c r="S703" s="11" t="n"/>
      <c r="U703" s="12">
        <f>IF(OR(H703="",I703=""),"",ROUND(Settings!$B$4/ABS(H703-I703),2))</f>
        <v/>
      </c>
      <c r="V703" s="13">
        <f>IF(M703="","",ROUND(M703*Settings!$B$4,2))</f>
        <v/>
      </c>
      <c r="W703" s="12">
        <f>IF(M703="","",SUM($M$2:M703))</f>
        <v/>
      </c>
      <c r="X703" s="12">
        <f>IF(M703="","",MAX(0,N(X702),W703))</f>
        <v/>
      </c>
      <c r="Y703" s="12">
        <f>IF(M703="","",X703-W703)</f>
        <v/>
      </c>
      <c r="Z703" s="12">
        <f>IF(M703="","",IF(M703&lt;0,N(Z702)+1,0))</f>
        <v/>
      </c>
    </row>
    <row r="704">
      <c r="H704" s="7" t="n"/>
      <c r="I704" s="7" t="n"/>
      <c r="J704" s="7" t="n"/>
      <c r="K704" s="7" t="n"/>
      <c r="M704" s="8" t="n"/>
      <c r="P704" s="9" t="n"/>
      <c r="Q704" s="10" t="n"/>
      <c r="R704" s="10" t="n"/>
      <c r="S704" s="11" t="n"/>
      <c r="U704" s="12">
        <f>IF(OR(H704="",I704=""),"",ROUND(Settings!$B$4/ABS(H704-I704),2))</f>
        <v/>
      </c>
      <c r="V704" s="13">
        <f>IF(M704="","",ROUND(M704*Settings!$B$4,2))</f>
        <v/>
      </c>
      <c r="W704" s="12">
        <f>IF(M704="","",SUM($M$2:M704))</f>
        <v/>
      </c>
      <c r="X704" s="12">
        <f>IF(M704="","",MAX(0,N(X703),W704))</f>
        <v/>
      </c>
      <c r="Y704" s="12">
        <f>IF(M704="","",X704-W704)</f>
        <v/>
      </c>
      <c r="Z704" s="12">
        <f>IF(M704="","",IF(M704&lt;0,N(Z703)+1,0))</f>
        <v/>
      </c>
    </row>
    <row r="705">
      <c r="H705" s="7" t="n"/>
      <c r="I705" s="7" t="n"/>
      <c r="J705" s="7" t="n"/>
      <c r="K705" s="7" t="n"/>
      <c r="M705" s="8" t="n"/>
      <c r="P705" s="9" t="n"/>
      <c r="Q705" s="10" t="n"/>
      <c r="R705" s="10" t="n"/>
      <c r="S705" s="11" t="n"/>
      <c r="U705" s="12">
        <f>IF(OR(H705="",I705=""),"",ROUND(Settings!$B$4/ABS(H705-I705),2))</f>
        <v/>
      </c>
      <c r="V705" s="13">
        <f>IF(M705="","",ROUND(M705*Settings!$B$4,2))</f>
        <v/>
      </c>
      <c r="W705" s="12">
        <f>IF(M705="","",SUM($M$2:M705))</f>
        <v/>
      </c>
      <c r="X705" s="12">
        <f>IF(M705="","",MAX(0,N(X704),W705))</f>
        <v/>
      </c>
      <c r="Y705" s="12">
        <f>IF(M705="","",X705-W705)</f>
        <v/>
      </c>
      <c r="Z705" s="12">
        <f>IF(M705="","",IF(M705&lt;0,N(Z704)+1,0))</f>
        <v/>
      </c>
    </row>
    <row r="706">
      <c r="H706" s="7" t="n"/>
      <c r="I706" s="7" t="n"/>
      <c r="J706" s="7" t="n"/>
      <c r="K706" s="7" t="n"/>
      <c r="M706" s="8" t="n"/>
      <c r="P706" s="9" t="n"/>
      <c r="Q706" s="10" t="n"/>
      <c r="R706" s="10" t="n"/>
      <c r="S706" s="11" t="n"/>
      <c r="U706" s="12">
        <f>IF(OR(H706="",I706=""),"",ROUND(Settings!$B$4/ABS(H706-I706),2))</f>
        <v/>
      </c>
      <c r="V706" s="13">
        <f>IF(M706="","",ROUND(M706*Settings!$B$4,2))</f>
        <v/>
      </c>
      <c r="W706" s="12">
        <f>IF(M706="","",SUM($M$2:M706))</f>
        <v/>
      </c>
      <c r="X706" s="12">
        <f>IF(M706="","",MAX(0,N(X705),W706))</f>
        <v/>
      </c>
      <c r="Y706" s="12">
        <f>IF(M706="","",X706-W706)</f>
        <v/>
      </c>
      <c r="Z706" s="12">
        <f>IF(M706="","",IF(M706&lt;0,N(Z705)+1,0))</f>
        <v/>
      </c>
    </row>
    <row r="707">
      <c r="H707" s="7" t="n"/>
      <c r="I707" s="7" t="n"/>
      <c r="J707" s="7" t="n"/>
      <c r="K707" s="7" t="n"/>
      <c r="M707" s="8" t="n"/>
      <c r="P707" s="9" t="n"/>
      <c r="Q707" s="10" t="n"/>
      <c r="R707" s="10" t="n"/>
      <c r="S707" s="11" t="n"/>
      <c r="U707" s="12">
        <f>IF(OR(H707="",I707=""),"",ROUND(Settings!$B$4/ABS(H707-I707),2))</f>
        <v/>
      </c>
      <c r="V707" s="13">
        <f>IF(M707="","",ROUND(M707*Settings!$B$4,2))</f>
        <v/>
      </c>
      <c r="W707" s="12">
        <f>IF(M707="","",SUM($M$2:M707))</f>
        <v/>
      </c>
      <c r="X707" s="12">
        <f>IF(M707="","",MAX(0,N(X706),W707))</f>
        <v/>
      </c>
      <c r="Y707" s="12">
        <f>IF(M707="","",X707-W707)</f>
        <v/>
      </c>
      <c r="Z707" s="12">
        <f>IF(M707="","",IF(M707&lt;0,N(Z706)+1,0))</f>
        <v/>
      </c>
    </row>
    <row r="708">
      <c r="H708" s="7" t="n"/>
      <c r="I708" s="7" t="n"/>
      <c r="J708" s="7" t="n"/>
      <c r="K708" s="7" t="n"/>
      <c r="M708" s="8" t="n"/>
      <c r="P708" s="9" t="n"/>
      <c r="Q708" s="10" t="n"/>
      <c r="R708" s="10" t="n"/>
      <c r="S708" s="11" t="n"/>
      <c r="U708" s="12">
        <f>IF(OR(H708="",I708=""),"",ROUND(Settings!$B$4/ABS(H708-I708),2))</f>
        <v/>
      </c>
      <c r="V708" s="13">
        <f>IF(M708="","",ROUND(M708*Settings!$B$4,2))</f>
        <v/>
      </c>
      <c r="W708" s="12">
        <f>IF(M708="","",SUM($M$2:M708))</f>
        <v/>
      </c>
      <c r="X708" s="12">
        <f>IF(M708="","",MAX(0,N(X707),W708))</f>
        <v/>
      </c>
      <c r="Y708" s="12">
        <f>IF(M708="","",X708-W708)</f>
        <v/>
      </c>
      <c r="Z708" s="12">
        <f>IF(M708="","",IF(M708&lt;0,N(Z707)+1,0))</f>
        <v/>
      </c>
    </row>
    <row r="709">
      <c r="H709" s="7" t="n"/>
      <c r="I709" s="7" t="n"/>
      <c r="J709" s="7" t="n"/>
      <c r="K709" s="7" t="n"/>
      <c r="M709" s="8" t="n"/>
      <c r="P709" s="9" t="n"/>
      <c r="Q709" s="10" t="n"/>
      <c r="R709" s="10" t="n"/>
      <c r="S709" s="11" t="n"/>
      <c r="U709" s="12">
        <f>IF(OR(H709="",I709=""),"",ROUND(Settings!$B$4/ABS(H709-I709),2))</f>
        <v/>
      </c>
      <c r="V709" s="13">
        <f>IF(M709="","",ROUND(M709*Settings!$B$4,2))</f>
        <v/>
      </c>
      <c r="W709" s="12">
        <f>IF(M709="","",SUM($M$2:M709))</f>
        <v/>
      </c>
      <c r="X709" s="12">
        <f>IF(M709="","",MAX(0,N(X708),W709))</f>
        <v/>
      </c>
      <c r="Y709" s="12">
        <f>IF(M709="","",X709-W709)</f>
        <v/>
      </c>
      <c r="Z709" s="12">
        <f>IF(M709="","",IF(M709&lt;0,N(Z708)+1,0))</f>
        <v/>
      </c>
    </row>
    <row r="710">
      <c r="H710" s="7" t="n"/>
      <c r="I710" s="7" t="n"/>
      <c r="J710" s="7" t="n"/>
      <c r="K710" s="7" t="n"/>
      <c r="M710" s="8" t="n"/>
      <c r="P710" s="9" t="n"/>
      <c r="Q710" s="10" t="n"/>
      <c r="R710" s="10" t="n"/>
      <c r="S710" s="11" t="n"/>
      <c r="U710" s="12">
        <f>IF(OR(H710="",I710=""),"",ROUND(Settings!$B$4/ABS(H710-I710),2))</f>
        <v/>
      </c>
      <c r="V710" s="13">
        <f>IF(M710="","",ROUND(M710*Settings!$B$4,2))</f>
        <v/>
      </c>
      <c r="W710" s="12">
        <f>IF(M710="","",SUM($M$2:M710))</f>
        <v/>
      </c>
      <c r="X710" s="12">
        <f>IF(M710="","",MAX(0,N(X709),W710))</f>
        <v/>
      </c>
      <c r="Y710" s="12">
        <f>IF(M710="","",X710-W710)</f>
        <v/>
      </c>
      <c r="Z710" s="12">
        <f>IF(M710="","",IF(M710&lt;0,N(Z709)+1,0))</f>
        <v/>
      </c>
    </row>
    <row r="711">
      <c r="H711" s="7" t="n"/>
      <c r="I711" s="7" t="n"/>
      <c r="J711" s="7" t="n"/>
      <c r="K711" s="7" t="n"/>
      <c r="M711" s="8" t="n"/>
      <c r="P711" s="9" t="n"/>
      <c r="Q711" s="10" t="n"/>
      <c r="R711" s="10" t="n"/>
      <c r="S711" s="11" t="n"/>
      <c r="U711" s="12">
        <f>IF(OR(H711="",I711=""),"",ROUND(Settings!$B$4/ABS(H711-I711),2))</f>
        <v/>
      </c>
      <c r="V711" s="13">
        <f>IF(M711="","",ROUND(M711*Settings!$B$4,2))</f>
        <v/>
      </c>
      <c r="W711" s="12">
        <f>IF(M711="","",SUM($M$2:M711))</f>
        <v/>
      </c>
      <c r="X711" s="12">
        <f>IF(M711="","",MAX(0,N(X710),W711))</f>
        <v/>
      </c>
      <c r="Y711" s="12">
        <f>IF(M711="","",X711-W711)</f>
        <v/>
      </c>
      <c r="Z711" s="12">
        <f>IF(M711="","",IF(M711&lt;0,N(Z710)+1,0))</f>
        <v/>
      </c>
    </row>
    <row r="712">
      <c r="H712" s="7" t="n"/>
      <c r="I712" s="7" t="n"/>
      <c r="J712" s="7" t="n"/>
      <c r="K712" s="7" t="n"/>
      <c r="M712" s="8" t="n"/>
      <c r="P712" s="9" t="n"/>
      <c r="Q712" s="10" t="n"/>
      <c r="R712" s="10" t="n"/>
      <c r="S712" s="11" t="n"/>
      <c r="U712" s="12">
        <f>IF(OR(H712="",I712=""),"",ROUND(Settings!$B$4/ABS(H712-I712),2))</f>
        <v/>
      </c>
      <c r="V712" s="13">
        <f>IF(M712="","",ROUND(M712*Settings!$B$4,2))</f>
        <v/>
      </c>
      <c r="W712" s="12">
        <f>IF(M712="","",SUM($M$2:M712))</f>
        <v/>
      </c>
      <c r="X712" s="12">
        <f>IF(M712="","",MAX(0,N(X711),W712))</f>
        <v/>
      </c>
      <c r="Y712" s="12">
        <f>IF(M712="","",X712-W712)</f>
        <v/>
      </c>
      <c r="Z712" s="12">
        <f>IF(M712="","",IF(M712&lt;0,N(Z711)+1,0))</f>
        <v/>
      </c>
    </row>
    <row r="713">
      <c r="H713" s="7" t="n"/>
      <c r="I713" s="7" t="n"/>
      <c r="J713" s="7" t="n"/>
      <c r="K713" s="7" t="n"/>
      <c r="M713" s="8" t="n"/>
      <c r="P713" s="9" t="n"/>
      <c r="Q713" s="10" t="n"/>
      <c r="R713" s="10" t="n"/>
      <c r="S713" s="11" t="n"/>
      <c r="U713" s="12">
        <f>IF(OR(H713="",I713=""),"",ROUND(Settings!$B$4/ABS(H713-I713),2))</f>
        <v/>
      </c>
      <c r="V713" s="13">
        <f>IF(M713="","",ROUND(M713*Settings!$B$4,2))</f>
        <v/>
      </c>
      <c r="W713" s="12">
        <f>IF(M713="","",SUM($M$2:M713))</f>
        <v/>
      </c>
      <c r="X713" s="12">
        <f>IF(M713="","",MAX(0,N(X712),W713))</f>
        <v/>
      </c>
      <c r="Y713" s="12">
        <f>IF(M713="","",X713-W713)</f>
        <v/>
      </c>
      <c r="Z713" s="12">
        <f>IF(M713="","",IF(M713&lt;0,N(Z712)+1,0))</f>
        <v/>
      </c>
    </row>
    <row r="714">
      <c r="H714" s="7" t="n"/>
      <c r="I714" s="7" t="n"/>
      <c r="J714" s="7" t="n"/>
      <c r="K714" s="7" t="n"/>
      <c r="M714" s="8" t="n"/>
      <c r="P714" s="9" t="n"/>
      <c r="Q714" s="10" t="n"/>
      <c r="R714" s="10" t="n"/>
      <c r="S714" s="11" t="n"/>
      <c r="U714" s="12">
        <f>IF(OR(H714="",I714=""),"",ROUND(Settings!$B$4/ABS(H714-I714),2))</f>
        <v/>
      </c>
      <c r="V714" s="13">
        <f>IF(M714="","",ROUND(M714*Settings!$B$4,2))</f>
        <v/>
      </c>
      <c r="W714" s="12">
        <f>IF(M714="","",SUM($M$2:M714))</f>
        <v/>
      </c>
      <c r="X714" s="12">
        <f>IF(M714="","",MAX(0,N(X713),W714))</f>
        <v/>
      </c>
      <c r="Y714" s="12">
        <f>IF(M714="","",X714-W714)</f>
        <v/>
      </c>
      <c r="Z714" s="12">
        <f>IF(M714="","",IF(M714&lt;0,N(Z713)+1,0))</f>
        <v/>
      </c>
    </row>
    <row r="715">
      <c r="H715" s="7" t="n"/>
      <c r="I715" s="7" t="n"/>
      <c r="J715" s="7" t="n"/>
      <c r="K715" s="7" t="n"/>
      <c r="M715" s="8" t="n"/>
      <c r="P715" s="9" t="n"/>
      <c r="Q715" s="10" t="n"/>
      <c r="R715" s="10" t="n"/>
      <c r="S715" s="11" t="n"/>
      <c r="U715" s="12">
        <f>IF(OR(H715="",I715=""),"",ROUND(Settings!$B$4/ABS(H715-I715),2))</f>
        <v/>
      </c>
      <c r="V715" s="13">
        <f>IF(M715="","",ROUND(M715*Settings!$B$4,2))</f>
        <v/>
      </c>
      <c r="W715" s="12">
        <f>IF(M715="","",SUM($M$2:M715))</f>
        <v/>
      </c>
      <c r="X715" s="12">
        <f>IF(M715="","",MAX(0,N(X714),W715))</f>
        <v/>
      </c>
      <c r="Y715" s="12">
        <f>IF(M715="","",X715-W715)</f>
        <v/>
      </c>
      <c r="Z715" s="12">
        <f>IF(M715="","",IF(M715&lt;0,N(Z714)+1,0))</f>
        <v/>
      </c>
    </row>
    <row r="716">
      <c r="H716" s="7" t="n"/>
      <c r="I716" s="7" t="n"/>
      <c r="J716" s="7" t="n"/>
      <c r="K716" s="7" t="n"/>
      <c r="M716" s="8" t="n"/>
      <c r="P716" s="9" t="n"/>
      <c r="Q716" s="10" t="n"/>
      <c r="R716" s="10" t="n"/>
      <c r="S716" s="11" t="n"/>
      <c r="U716" s="12">
        <f>IF(OR(H716="",I716=""),"",ROUND(Settings!$B$4/ABS(H716-I716),2))</f>
        <v/>
      </c>
      <c r="V716" s="13">
        <f>IF(M716="","",ROUND(M716*Settings!$B$4,2))</f>
        <v/>
      </c>
      <c r="W716" s="12">
        <f>IF(M716="","",SUM($M$2:M716))</f>
        <v/>
      </c>
      <c r="X716" s="12">
        <f>IF(M716="","",MAX(0,N(X715),W716))</f>
        <v/>
      </c>
      <c r="Y716" s="12">
        <f>IF(M716="","",X716-W716)</f>
        <v/>
      </c>
      <c r="Z716" s="12">
        <f>IF(M716="","",IF(M716&lt;0,N(Z715)+1,0))</f>
        <v/>
      </c>
    </row>
    <row r="717">
      <c r="H717" s="7" t="n"/>
      <c r="I717" s="7" t="n"/>
      <c r="J717" s="7" t="n"/>
      <c r="K717" s="7" t="n"/>
      <c r="M717" s="8" t="n"/>
      <c r="P717" s="9" t="n"/>
      <c r="Q717" s="10" t="n"/>
      <c r="R717" s="10" t="n"/>
      <c r="S717" s="11" t="n"/>
      <c r="U717" s="12">
        <f>IF(OR(H717="",I717=""),"",ROUND(Settings!$B$4/ABS(H717-I717),2))</f>
        <v/>
      </c>
      <c r="V717" s="13">
        <f>IF(M717="","",ROUND(M717*Settings!$B$4,2))</f>
        <v/>
      </c>
      <c r="W717" s="12">
        <f>IF(M717="","",SUM($M$2:M717))</f>
        <v/>
      </c>
      <c r="X717" s="12">
        <f>IF(M717="","",MAX(0,N(X716),W717))</f>
        <v/>
      </c>
      <c r="Y717" s="12">
        <f>IF(M717="","",X717-W717)</f>
        <v/>
      </c>
      <c r="Z717" s="12">
        <f>IF(M717="","",IF(M717&lt;0,N(Z716)+1,0))</f>
        <v/>
      </c>
    </row>
    <row r="718">
      <c r="H718" s="7" t="n"/>
      <c r="I718" s="7" t="n"/>
      <c r="J718" s="7" t="n"/>
      <c r="K718" s="7" t="n"/>
      <c r="M718" s="8" t="n"/>
      <c r="P718" s="9" t="n"/>
      <c r="Q718" s="10" t="n"/>
      <c r="R718" s="10" t="n"/>
      <c r="S718" s="11" t="n"/>
      <c r="U718" s="12">
        <f>IF(OR(H718="",I718=""),"",ROUND(Settings!$B$4/ABS(H718-I718),2))</f>
        <v/>
      </c>
      <c r="V718" s="13">
        <f>IF(M718="","",ROUND(M718*Settings!$B$4,2))</f>
        <v/>
      </c>
      <c r="W718" s="12">
        <f>IF(M718="","",SUM($M$2:M718))</f>
        <v/>
      </c>
      <c r="X718" s="12">
        <f>IF(M718="","",MAX(0,N(X717),W718))</f>
        <v/>
      </c>
      <c r="Y718" s="12">
        <f>IF(M718="","",X718-W718)</f>
        <v/>
      </c>
      <c r="Z718" s="12">
        <f>IF(M718="","",IF(M718&lt;0,N(Z717)+1,0))</f>
        <v/>
      </c>
    </row>
    <row r="719">
      <c r="H719" s="7" t="n"/>
      <c r="I719" s="7" t="n"/>
      <c r="J719" s="7" t="n"/>
      <c r="K719" s="7" t="n"/>
      <c r="M719" s="8" t="n"/>
      <c r="P719" s="9" t="n"/>
      <c r="Q719" s="10" t="n"/>
      <c r="R719" s="10" t="n"/>
      <c r="S719" s="11" t="n"/>
      <c r="U719" s="12">
        <f>IF(OR(H719="",I719=""),"",ROUND(Settings!$B$4/ABS(H719-I719),2))</f>
        <v/>
      </c>
      <c r="V719" s="13">
        <f>IF(M719="","",ROUND(M719*Settings!$B$4,2))</f>
        <v/>
      </c>
      <c r="W719" s="12">
        <f>IF(M719="","",SUM($M$2:M719))</f>
        <v/>
      </c>
      <c r="X719" s="12">
        <f>IF(M719="","",MAX(0,N(X718),W719))</f>
        <v/>
      </c>
      <c r="Y719" s="12">
        <f>IF(M719="","",X719-W719)</f>
        <v/>
      </c>
      <c r="Z719" s="12">
        <f>IF(M719="","",IF(M719&lt;0,N(Z718)+1,0))</f>
        <v/>
      </c>
    </row>
    <row r="720">
      <c r="H720" s="7" t="n"/>
      <c r="I720" s="7" t="n"/>
      <c r="J720" s="7" t="n"/>
      <c r="K720" s="7" t="n"/>
      <c r="M720" s="8" t="n"/>
      <c r="P720" s="9" t="n"/>
      <c r="Q720" s="10" t="n"/>
      <c r="R720" s="10" t="n"/>
      <c r="S720" s="11" t="n"/>
      <c r="U720" s="12">
        <f>IF(OR(H720="",I720=""),"",ROUND(Settings!$B$4/ABS(H720-I720),2))</f>
        <v/>
      </c>
      <c r="V720" s="13">
        <f>IF(M720="","",ROUND(M720*Settings!$B$4,2))</f>
        <v/>
      </c>
      <c r="W720" s="12">
        <f>IF(M720="","",SUM($M$2:M720))</f>
        <v/>
      </c>
      <c r="X720" s="12">
        <f>IF(M720="","",MAX(0,N(X719),W720))</f>
        <v/>
      </c>
      <c r="Y720" s="12">
        <f>IF(M720="","",X720-W720)</f>
        <v/>
      </c>
      <c r="Z720" s="12">
        <f>IF(M720="","",IF(M720&lt;0,N(Z719)+1,0))</f>
        <v/>
      </c>
    </row>
    <row r="721">
      <c r="H721" s="7" t="n"/>
      <c r="I721" s="7" t="n"/>
      <c r="J721" s="7" t="n"/>
      <c r="K721" s="7" t="n"/>
      <c r="M721" s="8" t="n"/>
      <c r="P721" s="9" t="n"/>
      <c r="Q721" s="10" t="n"/>
      <c r="R721" s="10" t="n"/>
      <c r="S721" s="11" t="n"/>
      <c r="U721" s="12">
        <f>IF(OR(H721="",I721=""),"",ROUND(Settings!$B$4/ABS(H721-I721),2))</f>
        <v/>
      </c>
      <c r="V721" s="13">
        <f>IF(M721="","",ROUND(M721*Settings!$B$4,2))</f>
        <v/>
      </c>
      <c r="W721" s="12">
        <f>IF(M721="","",SUM($M$2:M721))</f>
        <v/>
      </c>
      <c r="X721" s="12">
        <f>IF(M721="","",MAX(0,N(X720),W721))</f>
        <v/>
      </c>
      <c r="Y721" s="12">
        <f>IF(M721="","",X721-W721)</f>
        <v/>
      </c>
      <c r="Z721" s="12">
        <f>IF(M721="","",IF(M721&lt;0,N(Z720)+1,0))</f>
        <v/>
      </c>
    </row>
    <row r="722">
      <c r="H722" s="7" t="n"/>
      <c r="I722" s="7" t="n"/>
      <c r="J722" s="7" t="n"/>
      <c r="K722" s="7" t="n"/>
      <c r="M722" s="8" t="n"/>
      <c r="P722" s="9" t="n"/>
      <c r="Q722" s="10" t="n"/>
      <c r="R722" s="10" t="n"/>
      <c r="S722" s="11" t="n"/>
      <c r="U722" s="12">
        <f>IF(OR(H722="",I722=""),"",ROUND(Settings!$B$4/ABS(H722-I722),2))</f>
        <v/>
      </c>
      <c r="V722" s="13">
        <f>IF(M722="","",ROUND(M722*Settings!$B$4,2))</f>
        <v/>
      </c>
      <c r="W722" s="12">
        <f>IF(M722="","",SUM($M$2:M722))</f>
        <v/>
      </c>
      <c r="X722" s="12">
        <f>IF(M722="","",MAX(0,N(X721),W722))</f>
        <v/>
      </c>
      <c r="Y722" s="12">
        <f>IF(M722="","",X722-W722)</f>
        <v/>
      </c>
      <c r="Z722" s="12">
        <f>IF(M722="","",IF(M722&lt;0,N(Z721)+1,0))</f>
        <v/>
      </c>
    </row>
    <row r="723">
      <c r="H723" s="7" t="n"/>
      <c r="I723" s="7" t="n"/>
      <c r="J723" s="7" t="n"/>
      <c r="K723" s="7" t="n"/>
      <c r="M723" s="8" t="n"/>
      <c r="P723" s="9" t="n"/>
      <c r="Q723" s="10" t="n"/>
      <c r="R723" s="10" t="n"/>
      <c r="S723" s="11" t="n"/>
      <c r="U723" s="12">
        <f>IF(OR(H723="",I723=""),"",ROUND(Settings!$B$4/ABS(H723-I723),2))</f>
        <v/>
      </c>
      <c r="V723" s="13">
        <f>IF(M723="","",ROUND(M723*Settings!$B$4,2))</f>
        <v/>
      </c>
      <c r="W723" s="12">
        <f>IF(M723="","",SUM($M$2:M723))</f>
        <v/>
      </c>
      <c r="X723" s="12">
        <f>IF(M723="","",MAX(0,N(X722),W723))</f>
        <v/>
      </c>
      <c r="Y723" s="12">
        <f>IF(M723="","",X723-W723)</f>
        <v/>
      </c>
      <c r="Z723" s="12">
        <f>IF(M723="","",IF(M723&lt;0,N(Z722)+1,0))</f>
        <v/>
      </c>
    </row>
    <row r="724">
      <c r="H724" s="7" t="n"/>
      <c r="I724" s="7" t="n"/>
      <c r="J724" s="7" t="n"/>
      <c r="K724" s="7" t="n"/>
      <c r="M724" s="8" t="n"/>
      <c r="P724" s="9" t="n"/>
      <c r="Q724" s="10" t="n"/>
      <c r="R724" s="10" t="n"/>
      <c r="S724" s="11" t="n"/>
      <c r="U724" s="12">
        <f>IF(OR(H724="",I724=""),"",ROUND(Settings!$B$4/ABS(H724-I724),2))</f>
        <v/>
      </c>
      <c r="V724" s="13">
        <f>IF(M724="","",ROUND(M724*Settings!$B$4,2))</f>
        <v/>
      </c>
      <c r="W724" s="12">
        <f>IF(M724="","",SUM($M$2:M724))</f>
        <v/>
      </c>
      <c r="X724" s="12">
        <f>IF(M724="","",MAX(0,N(X723),W724))</f>
        <v/>
      </c>
      <c r="Y724" s="12">
        <f>IF(M724="","",X724-W724)</f>
        <v/>
      </c>
      <c r="Z724" s="12">
        <f>IF(M724="","",IF(M724&lt;0,N(Z723)+1,0))</f>
        <v/>
      </c>
    </row>
    <row r="725">
      <c r="H725" s="7" t="n"/>
      <c r="I725" s="7" t="n"/>
      <c r="J725" s="7" t="n"/>
      <c r="K725" s="7" t="n"/>
      <c r="M725" s="8" t="n"/>
      <c r="P725" s="9" t="n"/>
      <c r="Q725" s="10" t="n"/>
      <c r="R725" s="10" t="n"/>
      <c r="S725" s="11" t="n"/>
      <c r="U725" s="12">
        <f>IF(OR(H725="",I725=""),"",ROUND(Settings!$B$4/ABS(H725-I725),2))</f>
        <v/>
      </c>
      <c r="V725" s="13">
        <f>IF(M725="","",ROUND(M725*Settings!$B$4,2))</f>
        <v/>
      </c>
      <c r="W725" s="12">
        <f>IF(M725="","",SUM($M$2:M725))</f>
        <v/>
      </c>
      <c r="X725" s="12">
        <f>IF(M725="","",MAX(0,N(X724),W725))</f>
        <v/>
      </c>
      <c r="Y725" s="12">
        <f>IF(M725="","",X725-W725)</f>
        <v/>
      </c>
      <c r="Z725" s="12">
        <f>IF(M725="","",IF(M725&lt;0,N(Z724)+1,0))</f>
        <v/>
      </c>
    </row>
    <row r="726">
      <c r="H726" s="7" t="n"/>
      <c r="I726" s="7" t="n"/>
      <c r="J726" s="7" t="n"/>
      <c r="K726" s="7" t="n"/>
      <c r="M726" s="8" t="n"/>
      <c r="P726" s="9" t="n"/>
      <c r="Q726" s="10" t="n"/>
      <c r="R726" s="10" t="n"/>
      <c r="S726" s="11" t="n"/>
      <c r="U726" s="12">
        <f>IF(OR(H726="",I726=""),"",ROUND(Settings!$B$4/ABS(H726-I726),2))</f>
        <v/>
      </c>
      <c r="V726" s="13">
        <f>IF(M726="","",ROUND(M726*Settings!$B$4,2))</f>
        <v/>
      </c>
      <c r="W726" s="12">
        <f>IF(M726="","",SUM($M$2:M726))</f>
        <v/>
      </c>
      <c r="X726" s="12">
        <f>IF(M726="","",MAX(0,N(X725),W726))</f>
        <v/>
      </c>
      <c r="Y726" s="12">
        <f>IF(M726="","",X726-W726)</f>
        <v/>
      </c>
      <c r="Z726" s="12">
        <f>IF(M726="","",IF(M726&lt;0,N(Z725)+1,0))</f>
        <v/>
      </c>
    </row>
    <row r="727">
      <c r="H727" s="7" t="n"/>
      <c r="I727" s="7" t="n"/>
      <c r="J727" s="7" t="n"/>
      <c r="K727" s="7" t="n"/>
      <c r="M727" s="8" t="n"/>
      <c r="P727" s="9" t="n"/>
      <c r="Q727" s="10" t="n"/>
      <c r="R727" s="10" t="n"/>
      <c r="S727" s="11" t="n"/>
      <c r="U727" s="12">
        <f>IF(OR(H727="",I727=""),"",ROUND(Settings!$B$4/ABS(H727-I727),2))</f>
        <v/>
      </c>
      <c r="V727" s="13">
        <f>IF(M727="","",ROUND(M727*Settings!$B$4,2))</f>
        <v/>
      </c>
      <c r="W727" s="12">
        <f>IF(M727="","",SUM($M$2:M727))</f>
        <v/>
      </c>
      <c r="X727" s="12">
        <f>IF(M727="","",MAX(0,N(X726),W727))</f>
        <v/>
      </c>
      <c r="Y727" s="12">
        <f>IF(M727="","",X727-W727)</f>
        <v/>
      </c>
      <c r="Z727" s="12">
        <f>IF(M727="","",IF(M727&lt;0,N(Z726)+1,0))</f>
        <v/>
      </c>
    </row>
    <row r="728">
      <c r="H728" s="7" t="n"/>
      <c r="I728" s="7" t="n"/>
      <c r="J728" s="7" t="n"/>
      <c r="K728" s="7" t="n"/>
      <c r="M728" s="8" t="n"/>
      <c r="P728" s="9" t="n"/>
      <c r="Q728" s="10" t="n"/>
      <c r="R728" s="10" t="n"/>
      <c r="S728" s="11" t="n"/>
      <c r="U728" s="12">
        <f>IF(OR(H728="",I728=""),"",ROUND(Settings!$B$4/ABS(H728-I728),2))</f>
        <v/>
      </c>
      <c r="V728" s="13">
        <f>IF(M728="","",ROUND(M728*Settings!$B$4,2))</f>
        <v/>
      </c>
      <c r="W728" s="12">
        <f>IF(M728="","",SUM($M$2:M728))</f>
        <v/>
      </c>
      <c r="X728" s="12">
        <f>IF(M728="","",MAX(0,N(X727),W728))</f>
        <v/>
      </c>
      <c r="Y728" s="12">
        <f>IF(M728="","",X728-W728)</f>
        <v/>
      </c>
      <c r="Z728" s="12">
        <f>IF(M728="","",IF(M728&lt;0,N(Z727)+1,0))</f>
        <v/>
      </c>
    </row>
    <row r="729">
      <c r="H729" s="7" t="n"/>
      <c r="I729" s="7" t="n"/>
      <c r="J729" s="7" t="n"/>
      <c r="K729" s="7" t="n"/>
      <c r="M729" s="8" t="n"/>
      <c r="P729" s="9" t="n"/>
      <c r="Q729" s="10" t="n"/>
      <c r="R729" s="10" t="n"/>
      <c r="S729" s="11" t="n"/>
      <c r="U729" s="12">
        <f>IF(OR(H729="",I729=""),"",ROUND(Settings!$B$4/ABS(H729-I729),2))</f>
        <v/>
      </c>
      <c r="V729" s="13">
        <f>IF(M729="","",ROUND(M729*Settings!$B$4,2))</f>
        <v/>
      </c>
      <c r="W729" s="12">
        <f>IF(M729="","",SUM($M$2:M729))</f>
        <v/>
      </c>
      <c r="X729" s="12">
        <f>IF(M729="","",MAX(0,N(X728),W729))</f>
        <v/>
      </c>
      <c r="Y729" s="12">
        <f>IF(M729="","",X729-W729)</f>
        <v/>
      </c>
      <c r="Z729" s="12">
        <f>IF(M729="","",IF(M729&lt;0,N(Z728)+1,0))</f>
        <v/>
      </c>
    </row>
    <row r="730">
      <c r="H730" s="7" t="n"/>
      <c r="I730" s="7" t="n"/>
      <c r="J730" s="7" t="n"/>
      <c r="K730" s="7" t="n"/>
      <c r="M730" s="8" t="n"/>
      <c r="P730" s="9" t="n"/>
      <c r="Q730" s="10" t="n"/>
      <c r="R730" s="10" t="n"/>
      <c r="S730" s="11" t="n"/>
      <c r="U730" s="12">
        <f>IF(OR(H730="",I730=""),"",ROUND(Settings!$B$4/ABS(H730-I730),2))</f>
        <v/>
      </c>
      <c r="V730" s="13">
        <f>IF(M730="","",ROUND(M730*Settings!$B$4,2))</f>
        <v/>
      </c>
      <c r="W730" s="12">
        <f>IF(M730="","",SUM($M$2:M730))</f>
        <v/>
      </c>
      <c r="X730" s="12">
        <f>IF(M730="","",MAX(0,N(X729),W730))</f>
        <v/>
      </c>
      <c r="Y730" s="12">
        <f>IF(M730="","",X730-W730)</f>
        <v/>
      </c>
      <c r="Z730" s="12">
        <f>IF(M730="","",IF(M730&lt;0,N(Z729)+1,0))</f>
        <v/>
      </c>
    </row>
    <row r="731">
      <c r="H731" s="7" t="n"/>
      <c r="I731" s="7" t="n"/>
      <c r="J731" s="7" t="n"/>
      <c r="K731" s="7" t="n"/>
      <c r="M731" s="8" t="n"/>
      <c r="P731" s="9" t="n"/>
      <c r="Q731" s="10" t="n"/>
      <c r="R731" s="10" t="n"/>
      <c r="S731" s="11" t="n"/>
      <c r="U731" s="12">
        <f>IF(OR(H731="",I731=""),"",ROUND(Settings!$B$4/ABS(H731-I731),2))</f>
        <v/>
      </c>
      <c r="V731" s="13">
        <f>IF(M731="","",ROUND(M731*Settings!$B$4,2))</f>
        <v/>
      </c>
      <c r="W731" s="12">
        <f>IF(M731="","",SUM($M$2:M731))</f>
        <v/>
      </c>
      <c r="X731" s="12">
        <f>IF(M731="","",MAX(0,N(X730),W731))</f>
        <v/>
      </c>
      <c r="Y731" s="12">
        <f>IF(M731="","",X731-W731)</f>
        <v/>
      </c>
      <c r="Z731" s="12">
        <f>IF(M731="","",IF(M731&lt;0,N(Z730)+1,0))</f>
        <v/>
      </c>
    </row>
    <row r="732">
      <c r="H732" s="7" t="n"/>
      <c r="I732" s="7" t="n"/>
      <c r="J732" s="7" t="n"/>
      <c r="K732" s="7" t="n"/>
      <c r="M732" s="8" t="n"/>
      <c r="P732" s="9" t="n"/>
      <c r="Q732" s="10" t="n"/>
      <c r="R732" s="10" t="n"/>
      <c r="S732" s="11" t="n"/>
      <c r="U732" s="12">
        <f>IF(OR(H732="",I732=""),"",ROUND(Settings!$B$4/ABS(H732-I732),2))</f>
        <v/>
      </c>
      <c r="V732" s="13">
        <f>IF(M732="","",ROUND(M732*Settings!$B$4,2))</f>
        <v/>
      </c>
      <c r="W732" s="12">
        <f>IF(M732="","",SUM($M$2:M732))</f>
        <v/>
      </c>
      <c r="X732" s="12">
        <f>IF(M732="","",MAX(0,N(X731),W732))</f>
        <v/>
      </c>
      <c r="Y732" s="12">
        <f>IF(M732="","",X732-W732)</f>
        <v/>
      </c>
      <c r="Z732" s="12">
        <f>IF(M732="","",IF(M732&lt;0,N(Z731)+1,0))</f>
        <v/>
      </c>
    </row>
    <row r="733">
      <c r="H733" s="7" t="n"/>
      <c r="I733" s="7" t="n"/>
      <c r="J733" s="7" t="n"/>
      <c r="K733" s="7" t="n"/>
      <c r="M733" s="8" t="n"/>
      <c r="P733" s="9" t="n"/>
      <c r="Q733" s="10" t="n"/>
      <c r="R733" s="10" t="n"/>
      <c r="S733" s="11" t="n"/>
      <c r="U733" s="12">
        <f>IF(OR(H733="",I733=""),"",ROUND(Settings!$B$4/ABS(H733-I733),2))</f>
        <v/>
      </c>
      <c r="V733" s="13">
        <f>IF(M733="","",ROUND(M733*Settings!$B$4,2))</f>
        <v/>
      </c>
      <c r="W733" s="12">
        <f>IF(M733="","",SUM($M$2:M733))</f>
        <v/>
      </c>
      <c r="X733" s="12">
        <f>IF(M733="","",MAX(0,N(X732),W733))</f>
        <v/>
      </c>
      <c r="Y733" s="12">
        <f>IF(M733="","",X733-W733)</f>
        <v/>
      </c>
      <c r="Z733" s="12">
        <f>IF(M733="","",IF(M733&lt;0,N(Z732)+1,0))</f>
        <v/>
      </c>
    </row>
    <row r="734">
      <c r="H734" s="7" t="n"/>
      <c r="I734" s="7" t="n"/>
      <c r="J734" s="7" t="n"/>
      <c r="K734" s="7" t="n"/>
      <c r="M734" s="8" t="n"/>
      <c r="P734" s="9" t="n"/>
      <c r="Q734" s="10" t="n"/>
      <c r="R734" s="10" t="n"/>
      <c r="S734" s="11" t="n"/>
      <c r="U734" s="12">
        <f>IF(OR(H734="",I734=""),"",ROUND(Settings!$B$4/ABS(H734-I734),2))</f>
        <v/>
      </c>
      <c r="V734" s="13">
        <f>IF(M734="","",ROUND(M734*Settings!$B$4,2))</f>
        <v/>
      </c>
      <c r="W734" s="12">
        <f>IF(M734="","",SUM($M$2:M734))</f>
        <v/>
      </c>
      <c r="X734" s="12">
        <f>IF(M734="","",MAX(0,N(X733),W734))</f>
        <v/>
      </c>
      <c r="Y734" s="12">
        <f>IF(M734="","",X734-W734)</f>
        <v/>
      </c>
      <c r="Z734" s="12">
        <f>IF(M734="","",IF(M734&lt;0,N(Z733)+1,0))</f>
        <v/>
      </c>
    </row>
    <row r="735">
      <c r="H735" s="7" t="n"/>
      <c r="I735" s="7" t="n"/>
      <c r="J735" s="7" t="n"/>
      <c r="K735" s="7" t="n"/>
      <c r="M735" s="8" t="n"/>
      <c r="P735" s="9" t="n"/>
      <c r="Q735" s="10" t="n"/>
      <c r="R735" s="10" t="n"/>
      <c r="S735" s="11" t="n"/>
      <c r="U735" s="12">
        <f>IF(OR(H735="",I735=""),"",ROUND(Settings!$B$4/ABS(H735-I735),2))</f>
        <v/>
      </c>
      <c r="V735" s="13">
        <f>IF(M735="","",ROUND(M735*Settings!$B$4,2))</f>
        <v/>
      </c>
      <c r="W735" s="12">
        <f>IF(M735="","",SUM($M$2:M735))</f>
        <v/>
      </c>
      <c r="X735" s="12">
        <f>IF(M735="","",MAX(0,N(X734),W735))</f>
        <v/>
      </c>
      <c r="Y735" s="12">
        <f>IF(M735="","",X735-W735)</f>
        <v/>
      </c>
      <c r="Z735" s="12">
        <f>IF(M735="","",IF(M735&lt;0,N(Z734)+1,0))</f>
        <v/>
      </c>
    </row>
    <row r="736">
      <c r="H736" s="7" t="n"/>
      <c r="I736" s="7" t="n"/>
      <c r="J736" s="7" t="n"/>
      <c r="K736" s="7" t="n"/>
      <c r="M736" s="8" t="n"/>
      <c r="P736" s="9" t="n"/>
      <c r="Q736" s="10" t="n"/>
      <c r="R736" s="10" t="n"/>
      <c r="S736" s="11" t="n"/>
      <c r="U736" s="12">
        <f>IF(OR(H736="",I736=""),"",ROUND(Settings!$B$4/ABS(H736-I736),2))</f>
        <v/>
      </c>
      <c r="V736" s="13">
        <f>IF(M736="","",ROUND(M736*Settings!$B$4,2))</f>
        <v/>
      </c>
      <c r="W736" s="12">
        <f>IF(M736="","",SUM($M$2:M736))</f>
        <v/>
      </c>
      <c r="X736" s="12">
        <f>IF(M736="","",MAX(0,N(X735),W736))</f>
        <v/>
      </c>
      <c r="Y736" s="12">
        <f>IF(M736="","",X736-W736)</f>
        <v/>
      </c>
      <c r="Z736" s="12">
        <f>IF(M736="","",IF(M736&lt;0,N(Z735)+1,0))</f>
        <v/>
      </c>
    </row>
    <row r="737">
      <c r="H737" s="7" t="n"/>
      <c r="I737" s="7" t="n"/>
      <c r="J737" s="7" t="n"/>
      <c r="K737" s="7" t="n"/>
      <c r="M737" s="8" t="n"/>
      <c r="P737" s="9" t="n"/>
      <c r="Q737" s="10" t="n"/>
      <c r="R737" s="10" t="n"/>
      <c r="S737" s="11" t="n"/>
      <c r="U737" s="12">
        <f>IF(OR(H737="",I737=""),"",ROUND(Settings!$B$4/ABS(H737-I737),2))</f>
        <v/>
      </c>
      <c r="V737" s="13">
        <f>IF(M737="","",ROUND(M737*Settings!$B$4,2))</f>
        <v/>
      </c>
      <c r="W737" s="12">
        <f>IF(M737="","",SUM($M$2:M737))</f>
        <v/>
      </c>
      <c r="X737" s="12">
        <f>IF(M737="","",MAX(0,N(X736),W737))</f>
        <v/>
      </c>
      <c r="Y737" s="12">
        <f>IF(M737="","",X737-W737)</f>
        <v/>
      </c>
      <c r="Z737" s="12">
        <f>IF(M737="","",IF(M737&lt;0,N(Z736)+1,0))</f>
        <v/>
      </c>
    </row>
    <row r="738">
      <c r="H738" s="7" t="n"/>
      <c r="I738" s="7" t="n"/>
      <c r="J738" s="7" t="n"/>
      <c r="K738" s="7" t="n"/>
      <c r="M738" s="8" t="n"/>
      <c r="P738" s="9" t="n"/>
      <c r="Q738" s="10" t="n"/>
      <c r="R738" s="10" t="n"/>
      <c r="S738" s="11" t="n"/>
      <c r="U738" s="12">
        <f>IF(OR(H738="",I738=""),"",ROUND(Settings!$B$4/ABS(H738-I738),2))</f>
        <v/>
      </c>
      <c r="V738" s="13">
        <f>IF(M738="","",ROUND(M738*Settings!$B$4,2))</f>
        <v/>
      </c>
      <c r="W738" s="12">
        <f>IF(M738="","",SUM($M$2:M738))</f>
        <v/>
      </c>
      <c r="X738" s="12">
        <f>IF(M738="","",MAX(0,N(X737),W738))</f>
        <v/>
      </c>
      <c r="Y738" s="12">
        <f>IF(M738="","",X738-W738)</f>
        <v/>
      </c>
      <c r="Z738" s="12">
        <f>IF(M738="","",IF(M738&lt;0,N(Z737)+1,0))</f>
        <v/>
      </c>
    </row>
    <row r="739">
      <c r="H739" s="7" t="n"/>
      <c r="I739" s="7" t="n"/>
      <c r="J739" s="7" t="n"/>
      <c r="K739" s="7" t="n"/>
      <c r="M739" s="8" t="n"/>
      <c r="P739" s="9" t="n"/>
      <c r="Q739" s="10" t="n"/>
      <c r="R739" s="10" t="n"/>
      <c r="S739" s="11" t="n"/>
      <c r="U739" s="12">
        <f>IF(OR(H739="",I739=""),"",ROUND(Settings!$B$4/ABS(H739-I739),2))</f>
        <v/>
      </c>
      <c r="V739" s="13">
        <f>IF(M739="","",ROUND(M739*Settings!$B$4,2))</f>
        <v/>
      </c>
      <c r="W739" s="12">
        <f>IF(M739="","",SUM($M$2:M739))</f>
        <v/>
      </c>
      <c r="X739" s="12">
        <f>IF(M739="","",MAX(0,N(X738),W739))</f>
        <v/>
      </c>
      <c r="Y739" s="12">
        <f>IF(M739="","",X739-W739)</f>
        <v/>
      </c>
      <c r="Z739" s="12">
        <f>IF(M739="","",IF(M739&lt;0,N(Z738)+1,0))</f>
        <v/>
      </c>
    </row>
    <row r="740">
      <c r="H740" s="7" t="n"/>
      <c r="I740" s="7" t="n"/>
      <c r="J740" s="7" t="n"/>
      <c r="K740" s="7" t="n"/>
      <c r="M740" s="8" t="n"/>
      <c r="P740" s="9" t="n"/>
      <c r="Q740" s="10" t="n"/>
      <c r="R740" s="10" t="n"/>
      <c r="S740" s="11" t="n"/>
      <c r="U740" s="12">
        <f>IF(OR(H740="",I740=""),"",ROUND(Settings!$B$4/ABS(H740-I740),2))</f>
        <v/>
      </c>
      <c r="V740" s="13">
        <f>IF(M740="","",ROUND(M740*Settings!$B$4,2))</f>
        <v/>
      </c>
      <c r="W740" s="12">
        <f>IF(M740="","",SUM($M$2:M740))</f>
        <v/>
      </c>
      <c r="X740" s="12">
        <f>IF(M740="","",MAX(0,N(X739),W740))</f>
        <v/>
      </c>
      <c r="Y740" s="12">
        <f>IF(M740="","",X740-W740)</f>
        <v/>
      </c>
      <c r="Z740" s="12">
        <f>IF(M740="","",IF(M740&lt;0,N(Z739)+1,0))</f>
        <v/>
      </c>
    </row>
    <row r="741">
      <c r="H741" s="7" t="n"/>
      <c r="I741" s="7" t="n"/>
      <c r="J741" s="7" t="n"/>
      <c r="K741" s="7" t="n"/>
      <c r="M741" s="8" t="n"/>
      <c r="P741" s="9" t="n"/>
      <c r="Q741" s="10" t="n"/>
      <c r="R741" s="10" t="n"/>
      <c r="S741" s="11" t="n"/>
      <c r="U741" s="12">
        <f>IF(OR(H741="",I741=""),"",ROUND(Settings!$B$4/ABS(H741-I741),2))</f>
        <v/>
      </c>
      <c r="V741" s="13">
        <f>IF(M741="","",ROUND(M741*Settings!$B$4,2))</f>
        <v/>
      </c>
      <c r="W741" s="12">
        <f>IF(M741="","",SUM($M$2:M741))</f>
        <v/>
      </c>
      <c r="X741" s="12">
        <f>IF(M741="","",MAX(0,N(X740),W741))</f>
        <v/>
      </c>
      <c r="Y741" s="12">
        <f>IF(M741="","",X741-W741)</f>
        <v/>
      </c>
      <c r="Z741" s="12">
        <f>IF(M741="","",IF(M741&lt;0,N(Z740)+1,0))</f>
        <v/>
      </c>
    </row>
    <row r="742">
      <c r="H742" s="7" t="n"/>
      <c r="I742" s="7" t="n"/>
      <c r="J742" s="7" t="n"/>
      <c r="K742" s="7" t="n"/>
      <c r="M742" s="8" t="n"/>
      <c r="P742" s="9" t="n"/>
      <c r="Q742" s="10" t="n"/>
      <c r="R742" s="10" t="n"/>
      <c r="S742" s="11" t="n"/>
      <c r="U742" s="12">
        <f>IF(OR(H742="",I742=""),"",ROUND(Settings!$B$4/ABS(H742-I742),2))</f>
        <v/>
      </c>
      <c r="V742" s="13">
        <f>IF(M742="","",ROUND(M742*Settings!$B$4,2))</f>
        <v/>
      </c>
      <c r="W742" s="12">
        <f>IF(M742="","",SUM($M$2:M742))</f>
        <v/>
      </c>
      <c r="X742" s="12">
        <f>IF(M742="","",MAX(0,N(X741),W742))</f>
        <v/>
      </c>
      <c r="Y742" s="12">
        <f>IF(M742="","",X742-W742)</f>
        <v/>
      </c>
      <c r="Z742" s="12">
        <f>IF(M742="","",IF(M742&lt;0,N(Z741)+1,0))</f>
        <v/>
      </c>
    </row>
    <row r="743">
      <c r="H743" s="7" t="n"/>
      <c r="I743" s="7" t="n"/>
      <c r="J743" s="7" t="n"/>
      <c r="K743" s="7" t="n"/>
      <c r="M743" s="8" t="n"/>
      <c r="P743" s="9" t="n"/>
      <c r="Q743" s="10" t="n"/>
      <c r="R743" s="10" t="n"/>
      <c r="S743" s="11" t="n"/>
      <c r="U743" s="12">
        <f>IF(OR(H743="",I743=""),"",ROUND(Settings!$B$4/ABS(H743-I743),2))</f>
        <v/>
      </c>
      <c r="V743" s="13">
        <f>IF(M743="","",ROUND(M743*Settings!$B$4,2))</f>
        <v/>
      </c>
      <c r="W743" s="12">
        <f>IF(M743="","",SUM($M$2:M743))</f>
        <v/>
      </c>
      <c r="X743" s="12">
        <f>IF(M743="","",MAX(0,N(X742),W743))</f>
        <v/>
      </c>
      <c r="Y743" s="12">
        <f>IF(M743="","",X743-W743)</f>
        <v/>
      </c>
      <c r="Z743" s="12">
        <f>IF(M743="","",IF(M743&lt;0,N(Z742)+1,0))</f>
        <v/>
      </c>
    </row>
    <row r="744">
      <c r="H744" s="7" t="n"/>
      <c r="I744" s="7" t="n"/>
      <c r="J744" s="7" t="n"/>
      <c r="K744" s="7" t="n"/>
      <c r="M744" s="8" t="n"/>
      <c r="P744" s="9" t="n"/>
      <c r="Q744" s="10" t="n"/>
      <c r="R744" s="10" t="n"/>
      <c r="S744" s="11" t="n"/>
      <c r="U744" s="12">
        <f>IF(OR(H744="",I744=""),"",ROUND(Settings!$B$4/ABS(H744-I744),2))</f>
        <v/>
      </c>
      <c r="V744" s="13">
        <f>IF(M744="","",ROUND(M744*Settings!$B$4,2))</f>
        <v/>
      </c>
      <c r="W744" s="12">
        <f>IF(M744="","",SUM($M$2:M744))</f>
        <v/>
      </c>
      <c r="X744" s="12">
        <f>IF(M744="","",MAX(0,N(X743),W744))</f>
        <v/>
      </c>
      <c r="Y744" s="12">
        <f>IF(M744="","",X744-W744)</f>
        <v/>
      </c>
      <c r="Z744" s="12">
        <f>IF(M744="","",IF(M744&lt;0,N(Z743)+1,0))</f>
        <v/>
      </c>
    </row>
    <row r="745">
      <c r="H745" s="7" t="n"/>
      <c r="I745" s="7" t="n"/>
      <c r="J745" s="7" t="n"/>
      <c r="K745" s="7" t="n"/>
      <c r="M745" s="8" t="n"/>
      <c r="P745" s="9" t="n"/>
      <c r="Q745" s="10" t="n"/>
      <c r="R745" s="10" t="n"/>
      <c r="S745" s="11" t="n"/>
      <c r="U745" s="12">
        <f>IF(OR(H745="",I745=""),"",ROUND(Settings!$B$4/ABS(H745-I745),2))</f>
        <v/>
      </c>
      <c r="V745" s="13">
        <f>IF(M745="","",ROUND(M745*Settings!$B$4,2))</f>
        <v/>
      </c>
      <c r="W745" s="12">
        <f>IF(M745="","",SUM($M$2:M745))</f>
        <v/>
      </c>
      <c r="X745" s="12">
        <f>IF(M745="","",MAX(0,N(X744),W745))</f>
        <v/>
      </c>
      <c r="Y745" s="12">
        <f>IF(M745="","",X745-W745)</f>
        <v/>
      </c>
      <c r="Z745" s="12">
        <f>IF(M745="","",IF(M745&lt;0,N(Z744)+1,0))</f>
        <v/>
      </c>
    </row>
    <row r="746">
      <c r="H746" s="7" t="n"/>
      <c r="I746" s="7" t="n"/>
      <c r="J746" s="7" t="n"/>
      <c r="K746" s="7" t="n"/>
      <c r="M746" s="8" t="n"/>
      <c r="P746" s="9" t="n"/>
      <c r="Q746" s="10" t="n"/>
      <c r="R746" s="10" t="n"/>
      <c r="S746" s="11" t="n"/>
      <c r="U746" s="12">
        <f>IF(OR(H746="",I746=""),"",ROUND(Settings!$B$4/ABS(H746-I746),2))</f>
        <v/>
      </c>
      <c r="V746" s="13">
        <f>IF(M746="","",ROUND(M746*Settings!$B$4,2))</f>
        <v/>
      </c>
      <c r="W746" s="12">
        <f>IF(M746="","",SUM($M$2:M746))</f>
        <v/>
      </c>
      <c r="X746" s="12">
        <f>IF(M746="","",MAX(0,N(X745),W746))</f>
        <v/>
      </c>
      <c r="Y746" s="12">
        <f>IF(M746="","",X746-W746)</f>
        <v/>
      </c>
      <c r="Z746" s="12">
        <f>IF(M746="","",IF(M746&lt;0,N(Z745)+1,0))</f>
        <v/>
      </c>
    </row>
    <row r="747">
      <c r="H747" s="7" t="n"/>
      <c r="I747" s="7" t="n"/>
      <c r="J747" s="7" t="n"/>
      <c r="K747" s="7" t="n"/>
      <c r="M747" s="8" t="n"/>
      <c r="P747" s="9" t="n"/>
      <c r="Q747" s="10" t="n"/>
      <c r="R747" s="10" t="n"/>
      <c r="S747" s="11" t="n"/>
      <c r="U747" s="12">
        <f>IF(OR(H747="",I747=""),"",ROUND(Settings!$B$4/ABS(H747-I747),2))</f>
        <v/>
      </c>
      <c r="V747" s="13">
        <f>IF(M747="","",ROUND(M747*Settings!$B$4,2))</f>
        <v/>
      </c>
      <c r="W747" s="12">
        <f>IF(M747="","",SUM($M$2:M747))</f>
        <v/>
      </c>
      <c r="X747" s="12">
        <f>IF(M747="","",MAX(0,N(X746),W747))</f>
        <v/>
      </c>
      <c r="Y747" s="12">
        <f>IF(M747="","",X747-W747)</f>
        <v/>
      </c>
      <c r="Z747" s="12">
        <f>IF(M747="","",IF(M747&lt;0,N(Z746)+1,0))</f>
        <v/>
      </c>
    </row>
    <row r="748">
      <c r="H748" s="7" t="n"/>
      <c r="I748" s="7" t="n"/>
      <c r="J748" s="7" t="n"/>
      <c r="K748" s="7" t="n"/>
      <c r="M748" s="8" t="n"/>
      <c r="P748" s="9" t="n"/>
      <c r="Q748" s="10" t="n"/>
      <c r="R748" s="10" t="n"/>
      <c r="S748" s="11" t="n"/>
      <c r="U748" s="12">
        <f>IF(OR(H748="",I748=""),"",ROUND(Settings!$B$4/ABS(H748-I748),2))</f>
        <v/>
      </c>
      <c r="V748" s="13">
        <f>IF(M748="","",ROUND(M748*Settings!$B$4,2))</f>
        <v/>
      </c>
      <c r="W748" s="12">
        <f>IF(M748="","",SUM($M$2:M748))</f>
        <v/>
      </c>
      <c r="X748" s="12">
        <f>IF(M748="","",MAX(0,N(X747),W748))</f>
        <v/>
      </c>
      <c r="Y748" s="12">
        <f>IF(M748="","",X748-W748)</f>
        <v/>
      </c>
      <c r="Z748" s="12">
        <f>IF(M748="","",IF(M748&lt;0,N(Z747)+1,0))</f>
        <v/>
      </c>
    </row>
    <row r="749">
      <c r="H749" s="7" t="n"/>
      <c r="I749" s="7" t="n"/>
      <c r="J749" s="7" t="n"/>
      <c r="K749" s="7" t="n"/>
      <c r="M749" s="8" t="n"/>
      <c r="P749" s="9" t="n"/>
      <c r="Q749" s="10" t="n"/>
      <c r="R749" s="10" t="n"/>
      <c r="S749" s="11" t="n"/>
      <c r="U749" s="12">
        <f>IF(OR(H749="",I749=""),"",ROUND(Settings!$B$4/ABS(H749-I749),2))</f>
        <v/>
      </c>
      <c r="V749" s="13">
        <f>IF(M749="","",ROUND(M749*Settings!$B$4,2))</f>
        <v/>
      </c>
      <c r="W749" s="12">
        <f>IF(M749="","",SUM($M$2:M749))</f>
        <v/>
      </c>
      <c r="X749" s="12">
        <f>IF(M749="","",MAX(0,N(X748),W749))</f>
        <v/>
      </c>
      <c r="Y749" s="12">
        <f>IF(M749="","",X749-W749)</f>
        <v/>
      </c>
      <c r="Z749" s="12">
        <f>IF(M749="","",IF(M749&lt;0,N(Z748)+1,0))</f>
        <v/>
      </c>
    </row>
    <row r="750">
      <c r="H750" s="7" t="n"/>
      <c r="I750" s="7" t="n"/>
      <c r="J750" s="7" t="n"/>
      <c r="K750" s="7" t="n"/>
      <c r="M750" s="8" t="n"/>
      <c r="P750" s="9" t="n"/>
      <c r="Q750" s="10" t="n"/>
      <c r="R750" s="10" t="n"/>
      <c r="S750" s="11" t="n"/>
      <c r="U750" s="12">
        <f>IF(OR(H750="",I750=""),"",ROUND(Settings!$B$4/ABS(H750-I750),2))</f>
        <v/>
      </c>
      <c r="V750" s="13">
        <f>IF(M750="","",ROUND(M750*Settings!$B$4,2))</f>
        <v/>
      </c>
      <c r="W750" s="12">
        <f>IF(M750="","",SUM($M$2:M750))</f>
        <v/>
      </c>
      <c r="X750" s="12">
        <f>IF(M750="","",MAX(0,N(X749),W750))</f>
        <v/>
      </c>
      <c r="Y750" s="12">
        <f>IF(M750="","",X750-W750)</f>
        <v/>
      </c>
      <c r="Z750" s="12">
        <f>IF(M750="","",IF(M750&lt;0,N(Z749)+1,0))</f>
        <v/>
      </c>
    </row>
    <row r="751">
      <c r="H751" s="7" t="n"/>
      <c r="I751" s="7" t="n"/>
      <c r="J751" s="7" t="n"/>
      <c r="K751" s="7" t="n"/>
      <c r="M751" s="8" t="n"/>
      <c r="P751" s="9" t="n"/>
      <c r="Q751" s="10" t="n"/>
      <c r="R751" s="10" t="n"/>
      <c r="S751" s="11" t="n"/>
      <c r="U751" s="12">
        <f>IF(OR(H751="",I751=""),"",ROUND(Settings!$B$4/ABS(H751-I751),2))</f>
        <v/>
      </c>
      <c r="V751" s="13">
        <f>IF(M751="","",ROUND(M751*Settings!$B$4,2))</f>
        <v/>
      </c>
      <c r="W751" s="12">
        <f>IF(M751="","",SUM($M$2:M751))</f>
        <v/>
      </c>
      <c r="X751" s="12">
        <f>IF(M751="","",MAX(0,N(X750),W751))</f>
        <v/>
      </c>
      <c r="Y751" s="12">
        <f>IF(M751="","",X751-W751)</f>
        <v/>
      </c>
      <c r="Z751" s="12">
        <f>IF(M751="","",IF(M751&lt;0,N(Z750)+1,0))</f>
        <v/>
      </c>
    </row>
    <row r="752">
      <c r="H752" s="7" t="n"/>
      <c r="I752" s="7" t="n"/>
      <c r="J752" s="7" t="n"/>
      <c r="K752" s="7" t="n"/>
      <c r="M752" s="8" t="n"/>
      <c r="P752" s="9" t="n"/>
      <c r="Q752" s="10" t="n"/>
      <c r="R752" s="10" t="n"/>
      <c r="S752" s="11" t="n"/>
      <c r="U752" s="12">
        <f>IF(OR(H752="",I752=""),"",ROUND(Settings!$B$4/ABS(H752-I752),2))</f>
        <v/>
      </c>
      <c r="V752" s="13">
        <f>IF(M752="","",ROUND(M752*Settings!$B$4,2))</f>
        <v/>
      </c>
      <c r="W752" s="12">
        <f>IF(M752="","",SUM($M$2:M752))</f>
        <v/>
      </c>
      <c r="X752" s="12">
        <f>IF(M752="","",MAX(0,N(X751),W752))</f>
        <v/>
      </c>
      <c r="Y752" s="12">
        <f>IF(M752="","",X752-W752)</f>
        <v/>
      </c>
      <c r="Z752" s="12">
        <f>IF(M752="","",IF(M752&lt;0,N(Z751)+1,0))</f>
        <v/>
      </c>
    </row>
    <row r="753">
      <c r="H753" s="7" t="n"/>
      <c r="I753" s="7" t="n"/>
      <c r="J753" s="7" t="n"/>
      <c r="K753" s="7" t="n"/>
      <c r="M753" s="8" t="n"/>
      <c r="P753" s="9" t="n"/>
      <c r="Q753" s="10" t="n"/>
      <c r="R753" s="10" t="n"/>
      <c r="S753" s="11" t="n"/>
      <c r="U753" s="12">
        <f>IF(OR(H753="",I753=""),"",ROUND(Settings!$B$4/ABS(H753-I753),2))</f>
        <v/>
      </c>
      <c r="V753" s="13">
        <f>IF(M753="","",ROUND(M753*Settings!$B$4,2))</f>
        <v/>
      </c>
      <c r="W753" s="12">
        <f>IF(M753="","",SUM($M$2:M753))</f>
        <v/>
      </c>
      <c r="X753" s="12">
        <f>IF(M753="","",MAX(0,N(X752),W753))</f>
        <v/>
      </c>
      <c r="Y753" s="12">
        <f>IF(M753="","",X753-W753)</f>
        <v/>
      </c>
      <c r="Z753" s="12">
        <f>IF(M753="","",IF(M753&lt;0,N(Z752)+1,0))</f>
        <v/>
      </c>
    </row>
    <row r="754">
      <c r="H754" s="7" t="n"/>
      <c r="I754" s="7" t="n"/>
      <c r="J754" s="7" t="n"/>
      <c r="K754" s="7" t="n"/>
      <c r="M754" s="8" t="n"/>
      <c r="P754" s="9" t="n"/>
      <c r="Q754" s="10" t="n"/>
      <c r="R754" s="10" t="n"/>
      <c r="S754" s="11" t="n"/>
      <c r="U754" s="12">
        <f>IF(OR(H754="",I754=""),"",ROUND(Settings!$B$4/ABS(H754-I754),2))</f>
        <v/>
      </c>
      <c r="V754" s="13">
        <f>IF(M754="","",ROUND(M754*Settings!$B$4,2))</f>
        <v/>
      </c>
      <c r="W754" s="12">
        <f>IF(M754="","",SUM($M$2:M754))</f>
        <v/>
      </c>
      <c r="X754" s="12">
        <f>IF(M754="","",MAX(0,N(X753),W754))</f>
        <v/>
      </c>
      <c r="Y754" s="12">
        <f>IF(M754="","",X754-W754)</f>
        <v/>
      </c>
      <c r="Z754" s="12">
        <f>IF(M754="","",IF(M754&lt;0,N(Z753)+1,0))</f>
        <v/>
      </c>
    </row>
    <row r="755">
      <c r="H755" s="7" t="n"/>
      <c r="I755" s="7" t="n"/>
      <c r="J755" s="7" t="n"/>
      <c r="K755" s="7" t="n"/>
      <c r="M755" s="8" t="n"/>
      <c r="P755" s="9" t="n"/>
      <c r="Q755" s="10" t="n"/>
      <c r="R755" s="10" t="n"/>
      <c r="S755" s="11" t="n"/>
      <c r="U755" s="12">
        <f>IF(OR(H755="",I755=""),"",ROUND(Settings!$B$4/ABS(H755-I755),2))</f>
        <v/>
      </c>
      <c r="V755" s="13">
        <f>IF(M755="","",ROUND(M755*Settings!$B$4,2))</f>
        <v/>
      </c>
      <c r="W755" s="12">
        <f>IF(M755="","",SUM($M$2:M755))</f>
        <v/>
      </c>
      <c r="X755" s="12">
        <f>IF(M755="","",MAX(0,N(X754),W755))</f>
        <v/>
      </c>
      <c r="Y755" s="12">
        <f>IF(M755="","",X755-W755)</f>
        <v/>
      </c>
      <c r="Z755" s="12">
        <f>IF(M755="","",IF(M755&lt;0,N(Z754)+1,0))</f>
        <v/>
      </c>
    </row>
    <row r="756">
      <c r="H756" s="7" t="n"/>
      <c r="I756" s="7" t="n"/>
      <c r="J756" s="7" t="n"/>
      <c r="K756" s="7" t="n"/>
      <c r="M756" s="8" t="n"/>
      <c r="P756" s="9" t="n"/>
      <c r="Q756" s="10" t="n"/>
      <c r="R756" s="10" t="n"/>
      <c r="S756" s="11" t="n"/>
      <c r="U756" s="12">
        <f>IF(OR(H756="",I756=""),"",ROUND(Settings!$B$4/ABS(H756-I756),2))</f>
        <v/>
      </c>
      <c r="V756" s="13">
        <f>IF(M756="","",ROUND(M756*Settings!$B$4,2))</f>
        <v/>
      </c>
      <c r="W756" s="12">
        <f>IF(M756="","",SUM($M$2:M756))</f>
        <v/>
      </c>
      <c r="X756" s="12">
        <f>IF(M756="","",MAX(0,N(X755),W756))</f>
        <v/>
      </c>
      <c r="Y756" s="12">
        <f>IF(M756="","",X756-W756)</f>
        <v/>
      </c>
      <c r="Z756" s="12">
        <f>IF(M756="","",IF(M756&lt;0,N(Z755)+1,0))</f>
        <v/>
      </c>
    </row>
    <row r="757">
      <c r="H757" s="7" t="n"/>
      <c r="I757" s="7" t="n"/>
      <c r="J757" s="7" t="n"/>
      <c r="K757" s="7" t="n"/>
      <c r="M757" s="8" t="n"/>
      <c r="P757" s="9" t="n"/>
      <c r="Q757" s="10" t="n"/>
      <c r="R757" s="10" t="n"/>
      <c r="S757" s="11" t="n"/>
      <c r="U757" s="12">
        <f>IF(OR(H757="",I757=""),"",ROUND(Settings!$B$4/ABS(H757-I757),2))</f>
        <v/>
      </c>
      <c r="V757" s="13">
        <f>IF(M757="","",ROUND(M757*Settings!$B$4,2))</f>
        <v/>
      </c>
      <c r="W757" s="12">
        <f>IF(M757="","",SUM($M$2:M757))</f>
        <v/>
      </c>
      <c r="X757" s="12">
        <f>IF(M757="","",MAX(0,N(X756),W757))</f>
        <v/>
      </c>
      <c r="Y757" s="12">
        <f>IF(M757="","",X757-W757)</f>
        <v/>
      </c>
      <c r="Z757" s="12">
        <f>IF(M757="","",IF(M757&lt;0,N(Z756)+1,0))</f>
        <v/>
      </c>
    </row>
    <row r="758">
      <c r="H758" s="7" t="n"/>
      <c r="I758" s="7" t="n"/>
      <c r="J758" s="7" t="n"/>
      <c r="K758" s="7" t="n"/>
      <c r="M758" s="8" t="n"/>
      <c r="P758" s="9" t="n"/>
      <c r="Q758" s="10" t="n"/>
      <c r="R758" s="10" t="n"/>
      <c r="S758" s="11" t="n"/>
      <c r="U758" s="12">
        <f>IF(OR(H758="",I758=""),"",ROUND(Settings!$B$4/ABS(H758-I758),2))</f>
        <v/>
      </c>
      <c r="V758" s="13">
        <f>IF(M758="","",ROUND(M758*Settings!$B$4,2))</f>
        <v/>
      </c>
      <c r="W758" s="12">
        <f>IF(M758="","",SUM($M$2:M758))</f>
        <v/>
      </c>
      <c r="X758" s="12">
        <f>IF(M758="","",MAX(0,N(X757),W758))</f>
        <v/>
      </c>
      <c r="Y758" s="12">
        <f>IF(M758="","",X758-W758)</f>
        <v/>
      </c>
      <c r="Z758" s="12">
        <f>IF(M758="","",IF(M758&lt;0,N(Z757)+1,0))</f>
        <v/>
      </c>
    </row>
    <row r="759">
      <c r="H759" s="7" t="n"/>
      <c r="I759" s="7" t="n"/>
      <c r="J759" s="7" t="n"/>
      <c r="K759" s="7" t="n"/>
      <c r="M759" s="8" t="n"/>
      <c r="P759" s="9" t="n"/>
      <c r="Q759" s="10" t="n"/>
      <c r="R759" s="10" t="n"/>
      <c r="S759" s="11" t="n"/>
      <c r="U759" s="12">
        <f>IF(OR(H759="",I759=""),"",ROUND(Settings!$B$4/ABS(H759-I759),2))</f>
        <v/>
      </c>
      <c r="V759" s="13">
        <f>IF(M759="","",ROUND(M759*Settings!$B$4,2))</f>
        <v/>
      </c>
      <c r="W759" s="12">
        <f>IF(M759="","",SUM($M$2:M759))</f>
        <v/>
      </c>
      <c r="X759" s="12">
        <f>IF(M759="","",MAX(0,N(X758),W759))</f>
        <v/>
      </c>
      <c r="Y759" s="12">
        <f>IF(M759="","",X759-W759)</f>
        <v/>
      </c>
      <c r="Z759" s="12">
        <f>IF(M759="","",IF(M759&lt;0,N(Z758)+1,0))</f>
        <v/>
      </c>
    </row>
    <row r="760">
      <c r="H760" s="7" t="n"/>
      <c r="I760" s="7" t="n"/>
      <c r="J760" s="7" t="n"/>
      <c r="K760" s="7" t="n"/>
      <c r="M760" s="8" t="n"/>
      <c r="P760" s="9" t="n"/>
      <c r="Q760" s="10" t="n"/>
      <c r="R760" s="10" t="n"/>
      <c r="S760" s="11" t="n"/>
      <c r="U760" s="12">
        <f>IF(OR(H760="",I760=""),"",ROUND(Settings!$B$4/ABS(H760-I760),2))</f>
        <v/>
      </c>
      <c r="V760" s="13">
        <f>IF(M760="","",ROUND(M760*Settings!$B$4,2))</f>
        <v/>
      </c>
      <c r="W760" s="12">
        <f>IF(M760="","",SUM($M$2:M760))</f>
        <v/>
      </c>
      <c r="X760" s="12">
        <f>IF(M760="","",MAX(0,N(X759),W760))</f>
        <v/>
      </c>
      <c r="Y760" s="12">
        <f>IF(M760="","",X760-W760)</f>
        <v/>
      </c>
      <c r="Z760" s="12">
        <f>IF(M760="","",IF(M760&lt;0,N(Z759)+1,0))</f>
        <v/>
      </c>
    </row>
    <row r="761">
      <c r="H761" s="7" t="n"/>
      <c r="I761" s="7" t="n"/>
      <c r="J761" s="7" t="n"/>
      <c r="K761" s="7" t="n"/>
      <c r="M761" s="8" t="n"/>
      <c r="P761" s="9" t="n"/>
      <c r="Q761" s="10" t="n"/>
      <c r="R761" s="10" t="n"/>
      <c r="S761" s="11" t="n"/>
      <c r="U761" s="12">
        <f>IF(OR(H761="",I761=""),"",ROUND(Settings!$B$4/ABS(H761-I761),2))</f>
        <v/>
      </c>
      <c r="V761" s="13">
        <f>IF(M761="","",ROUND(M761*Settings!$B$4,2))</f>
        <v/>
      </c>
      <c r="W761" s="12">
        <f>IF(M761="","",SUM($M$2:M761))</f>
        <v/>
      </c>
      <c r="X761" s="12">
        <f>IF(M761="","",MAX(0,N(X760),W761))</f>
        <v/>
      </c>
      <c r="Y761" s="12">
        <f>IF(M761="","",X761-W761)</f>
        <v/>
      </c>
      <c r="Z761" s="12">
        <f>IF(M761="","",IF(M761&lt;0,N(Z760)+1,0))</f>
        <v/>
      </c>
    </row>
    <row r="762">
      <c r="H762" s="7" t="n"/>
      <c r="I762" s="7" t="n"/>
      <c r="J762" s="7" t="n"/>
      <c r="K762" s="7" t="n"/>
      <c r="M762" s="8" t="n"/>
      <c r="P762" s="9" t="n"/>
      <c r="Q762" s="10" t="n"/>
      <c r="R762" s="10" t="n"/>
      <c r="S762" s="11" t="n"/>
      <c r="U762" s="12">
        <f>IF(OR(H762="",I762=""),"",ROUND(Settings!$B$4/ABS(H762-I762),2))</f>
        <v/>
      </c>
      <c r="V762" s="13">
        <f>IF(M762="","",ROUND(M762*Settings!$B$4,2))</f>
        <v/>
      </c>
      <c r="W762" s="12">
        <f>IF(M762="","",SUM($M$2:M762))</f>
        <v/>
      </c>
      <c r="X762" s="12">
        <f>IF(M762="","",MAX(0,N(X761),W762))</f>
        <v/>
      </c>
      <c r="Y762" s="12">
        <f>IF(M762="","",X762-W762)</f>
        <v/>
      </c>
      <c r="Z762" s="12">
        <f>IF(M762="","",IF(M762&lt;0,N(Z761)+1,0))</f>
        <v/>
      </c>
    </row>
    <row r="763">
      <c r="H763" s="7" t="n"/>
      <c r="I763" s="7" t="n"/>
      <c r="J763" s="7" t="n"/>
      <c r="K763" s="7" t="n"/>
      <c r="M763" s="8" t="n"/>
      <c r="P763" s="9" t="n"/>
      <c r="Q763" s="10" t="n"/>
      <c r="R763" s="10" t="n"/>
      <c r="S763" s="11" t="n"/>
      <c r="U763" s="12">
        <f>IF(OR(H763="",I763=""),"",ROUND(Settings!$B$4/ABS(H763-I763),2))</f>
        <v/>
      </c>
      <c r="V763" s="13">
        <f>IF(M763="","",ROUND(M763*Settings!$B$4,2))</f>
        <v/>
      </c>
      <c r="W763" s="12">
        <f>IF(M763="","",SUM($M$2:M763))</f>
        <v/>
      </c>
      <c r="X763" s="12">
        <f>IF(M763="","",MAX(0,N(X762),W763))</f>
        <v/>
      </c>
      <c r="Y763" s="12">
        <f>IF(M763="","",X763-W763)</f>
        <v/>
      </c>
      <c r="Z763" s="12">
        <f>IF(M763="","",IF(M763&lt;0,N(Z762)+1,0))</f>
        <v/>
      </c>
    </row>
    <row r="764">
      <c r="H764" s="7" t="n"/>
      <c r="I764" s="7" t="n"/>
      <c r="J764" s="7" t="n"/>
      <c r="K764" s="7" t="n"/>
      <c r="M764" s="8" t="n"/>
      <c r="P764" s="9" t="n"/>
      <c r="Q764" s="10" t="n"/>
      <c r="R764" s="10" t="n"/>
      <c r="S764" s="11" t="n"/>
      <c r="U764" s="12">
        <f>IF(OR(H764="",I764=""),"",ROUND(Settings!$B$4/ABS(H764-I764),2))</f>
        <v/>
      </c>
      <c r="V764" s="13">
        <f>IF(M764="","",ROUND(M764*Settings!$B$4,2))</f>
        <v/>
      </c>
      <c r="W764" s="12">
        <f>IF(M764="","",SUM($M$2:M764))</f>
        <v/>
      </c>
      <c r="X764" s="12">
        <f>IF(M764="","",MAX(0,N(X763),W764))</f>
        <v/>
      </c>
      <c r="Y764" s="12">
        <f>IF(M764="","",X764-W764)</f>
        <v/>
      </c>
      <c r="Z764" s="12">
        <f>IF(M764="","",IF(M764&lt;0,N(Z763)+1,0))</f>
        <v/>
      </c>
    </row>
    <row r="765">
      <c r="H765" s="7" t="n"/>
      <c r="I765" s="7" t="n"/>
      <c r="J765" s="7" t="n"/>
      <c r="K765" s="7" t="n"/>
      <c r="M765" s="8" t="n"/>
      <c r="P765" s="9" t="n"/>
      <c r="Q765" s="10" t="n"/>
      <c r="R765" s="10" t="n"/>
      <c r="S765" s="11" t="n"/>
      <c r="U765" s="12">
        <f>IF(OR(H765="",I765=""),"",ROUND(Settings!$B$4/ABS(H765-I765),2))</f>
        <v/>
      </c>
      <c r="V765" s="13">
        <f>IF(M765="","",ROUND(M765*Settings!$B$4,2))</f>
        <v/>
      </c>
      <c r="W765" s="12">
        <f>IF(M765="","",SUM($M$2:M765))</f>
        <v/>
      </c>
      <c r="X765" s="12">
        <f>IF(M765="","",MAX(0,N(X764),W765))</f>
        <v/>
      </c>
      <c r="Y765" s="12">
        <f>IF(M765="","",X765-W765)</f>
        <v/>
      </c>
      <c r="Z765" s="12">
        <f>IF(M765="","",IF(M765&lt;0,N(Z764)+1,0))</f>
        <v/>
      </c>
    </row>
    <row r="766">
      <c r="H766" s="7" t="n"/>
      <c r="I766" s="7" t="n"/>
      <c r="J766" s="7" t="n"/>
      <c r="K766" s="7" t="n"/>
      <c r="M766" s="8" t="n"/>
      <c r="P766" s="9" t="n"/>
      <c r="Q766" s="10" t="n"/>
      <c r="R766" s="10" t="n"/>
      <c r="S766" s="11" t="n"/>
      <c r="U766" s="12">
        <f>IF(OR(H766="",I766=""),"",ROUND(Settings!$B$4/ABS(H766-I766),2))</f>
        <v/>
      </c>
      <c r="V766" s="13">
        <f>IF(M766="","",ROUND(M766*Settings!$B$4,2))</f>
        <v/>
      </c>
      <c r="W766" s="12">
        <f>IF(M766="","",SUM($M$2:M766))</f>
        <v/>
      </c>
      <c r="X766" s="12">
        <f>IF(M766="","",MAX(0,N(X765),W766))</f>
        <v/>
      </c>
      <c r="Y766" s="12">
        <f>IF(M766="","",X766-W766)</f>
        <v/>
      </c>
      <c r="Z766" s="12">
        <f>IF(M766="","",IF(M766&lt;0,N(Z765)+1,0))</f>
        <v/>
      </c>
    </row>
    <row r="767">
      <c r="H767" s="7" t="n"/>
      <c r="I767" s="7" t="n"/>
      <c r="J767" s="7" t="n"/>
      <c r="K767" s="7" t="n"/>
      <c r="M767" s="8" t="n"/>
      <c r="P767" s="9" t="n"/>
      <c r="Q767" s="10" t="n"/>
      <c r="R767" s="10" t="n"/>
      <c r="S767" s="11" t="n"/>
      <c r="U767" s="12">
        <f>IF(OR(H767="",I767=""),"",ROUND(Settings!$B$4/ABS(H767-I767),2))</f>
        <v/>
      </c>
      <c r="V767" s="13">
        <f>IF(M767="","",ROUND(M767*Settings!$B$4,2))</f>
        <v/>
      </c>
      <c r="W767" s="12">
        <f>IF(M767="","",SUM($M$2:M767))</f>
        <v/>
      </c>
      <c r="X767" s="12">
        <f>IF(M767="","",MAX(0,N(X766),W767))</f>
        <v/>
      </c>
      <c r="Y767" s="12">
        <f>IF(M767="","",X767-W767)</f>
        <v/>
      </c>
      <c r="Z767" s="12">
        <f>IF(M767="","",IF(M767&lt;0,N(Z766)+1,0))</f>
        <v/>
      </c>
    </row>
    <row r="768">
      <c r="H768" s="7" t="n"/>
      <c r="I768" s="7" t="n"/>
      <c r="J768" s="7" t="n"/>
      <c r="K768" s="7" t="n"/>
      <c r="M768" s="8" t="n"/>
      <c r="P768" s="9" t="n"/>
      <c r="Q768" s="10" t="n"/>
      <c r="R768" s="10" t="n"/>
      <c r="S768" s="11" t="n"/>
      <c r="U768" s="12">
        <f>IF(OR(H768="",I768=""),"",ROUND(Settings!$B$4/ABS(H768-I768),2))</f>
        <v/>
      </c>
      <c r="V768" s="13">
        <f>IF(M768="","",ROUND(M768*Settings!$B$4,2))</f>
        <v/>
      </c>
      <c r="W768" s="12">
        <f>IF(M768="","",SUM($M$2:M768))</f>
        <v/>
      </c>
      <c r="X768" s="12">
        <f>IF(M768="","",MAX(0,N(X767),W768))</f>
        <v/>
      </c>
      <c r="Y768" s="12">
        <f>IF(M768="","",X768-W768)</f>
        <v/>
      </c>
      <c r="Z768" s="12">
        <f>IF(M768="","",IF(M768&lt;0,N(Z767)+1,0))</f>
        <v/>
      </c>
    </row>
    <row r="769">
      <c r="H769" s="7" t="n"/>
      <c r="I769" s="7" t="n"/>
      <c r="J769" s="7" t="n"/>
      <c r="K769" s="7" t="n"/>
      <c r="M769" s="8" t="n"/>
      <c r="P769" s="9" t="n"/>
      <c r="Q769" s="10" t="n"/>
      <c r="R769" s="10" t="n"/>
      <c r="S769" s="11" t="n"/>
      <c r="U769" s="12">
        <f>IF(OR(H769="",I769=""),"",ROUND(Settings!$B$4/ABS(H769-I769),2))</f>
        <v/>
      </c>
      <c r="V769" s="13">
        <f>IF(M769="","",ROUND(M769*Settings!$B$4,2))</f>
        <v/>
      </c>
      <c r="W769" s="12">
        <f>IF(M769="","",SUM($M$2:M769))</f>
        <v/>
      </c>
      <c r="X769" s="12">
        <f>IF(M769="","",MAX(0,N(X768),W769))</f>
        <v/>
      </c>
      <c r="Y769" s="12">
        <f>IF(M769="","",X769-W769)</f>
        <v/>
      </c>
      <c r="Z769" s="12">
        <f>IF(M769="","",IF(M769&lt;0,N(Z768)+1,0))</f>
        <v/>
      </c>
    </row>
    <row r="770">
      <c r="H770" s="7" t="n"/>
      <c r="I770" s="7" t="n"/>
      <c r="J770" s="7" t="n"/>
      <c r="K770" s="7" t="n"/>
      <c r="M770" s="8" t="n"/>
      <c r="P770" s="9" t="n"/>
      <c r="Q770" s="10" t="n"/>
      <c r="R770" s="10" t="n"/>
      <c r="S770" s="11" t="n"/>
      <c r="U770" s="12">
        <f>IF(OR(H770="",I770=""),"",ROUND(Settings!$B$4/ABS(H770-I770),2))</f>
        <v/>
      </c>
      <c r="V770" s="13">
        <f>IF(M770="","",ROUND(M770*Settings!$B$4,2))</f>
        <v/>
      </c>
      <c r="W770" s="12">
        <f>IF(M770="","",SUM($M$2:M770))</f>
        <v/>
      </c>
      <c r="X770" s="12">
        <f>IF(M770="","",MAX(0,N(X769),W770))</f>
        <v/>
      </c>
      <c r="Y770" s="12">
        <f>IF(M770="","",X770-W770)</f>
        <v/>
      </c>
      <c r="Z770" s="12">
        <f>IF(M770="","",IF(M770&lt;0,N(Z769)+1,0))</f>
        <v/>
      </c>
    </row>
    <row r="771">
      <c r="H771" s="7" t="n"/>
      <c r="I771" s="7" t="n"/>
      <c r="J771" s="7" t="n"/>
      <c r="K771" s="7" t="n"/>
      <c r="M771" s="8" t="n"/>
      <c r="P771" s="9" t="n"/>
      <c r="Q771" s="10" t="n"/>
      <c r="R771" s="10" t="n"/>
      <c r="S771" s="11" t="n"/>
      <c r="U771" s="12">
        <f>IF(OR(H771="",I771=""),"",ROUND(Settings!$B$4/ABS(H771-I771),2))</f>
        <v/>
      </c>
      <c r="V771" s="13">
        <f>IF(M771="","",ROUND(M771*Settings!$B$4,2))</f>
        <v/>
      </c>
      <c r="W771" s="12">
        <f>IF(M771="","",SUM($M$2:M771))</f>
        <v/>
      </c>
      <c r="X771" s="12">
        <f>IF(M771="","",MAX(0,N(X770),W771))</f>
        <v/>
      </c>
      <c r="Y771" s="12">
        <f>IF(M771="","",X771-W771)</f>
        <v/>
      </c>
      <c r="Z771" s="12">
        <f>IF(M771="","",IF(M771&lt;0,N(Z770)+1,0))</f>
        <v/>
      </c>
    </row>
    <row r="772">
      <c r="H772" s="7" t="n"/>
      <c r="I772" s="7" t="n"/>
      <c r="J772" s="7" t="n"/>
      <c r="K772" s="7" t="n"/>
      <c r="M772" s="8" t="n"/>
      <c r="P772" s="9" t="n"/>
      <c r="Q772" s="10" t="n"/>
      <c r="R772" s="10" t="n"/>
      <c r="S772" s="11" t="n"/>
      <c r="U772" s="12">
        <f>IF(OR(H772="",I772=""),"",ROUND(Settings!$B$4/ABS(H772-I772),2))</f>
        <v/>
      </c>
      <c r="V772" s="13">
        <f>IF(M772="","",ROUND(M772*Settings!$B$4,2))</f>
        <v/>
      </c>
      <c r="W772" s="12">
        <f>IF(M772="","",SUM($M$2:M772))</f>
        <v/>
      </c>
      <c r="X772" s="12">
        <f>IF(M772="","",MAX(0,N(X771),W772))</f>
        <v/>
      </c>
      <c r="Y772" s="12">
        <f>IF(M772="","",X772-W772)</f>
        <v/>
      </c>
      <c r="Z772" s="12">
        <f>IF(M772="","",IF(M772&lt;0,N(Z771)+1,0))</f>
        <v/>
      </c>
    </row>
    <row r="773">
      <c r="H773" s="7" t="n"/>
      <c r="I773" s="7" t="n"/>
      <c r="J773" s="7" t="n"/>
      <c r="K773" s="7" t="n"/>
      <c r="M773" s="8" t="n"/>
      <c r="P773" s="9" t="n"/>
      <c r="Q773" s="10" t="n"/>
      <c r="R773" s="10" t="n"/>
      <c r="S773" s="11" t="n"/>
      <c r="U773" s="12">
        <f>IF(OR(H773="",I773=""),"",ROUND(Settings!$B$4/ABS(H773-I773),2))</f>
        <v/>
      </c>
      <c r="V773" s="13">
        <f>IF(M773="","",ROUND(M773*Settings!$B$4,2))</f>
        <v/>
      </c>
      <c r="W773" s="12">
        <f>IF(M773="","",SUM($M$2:M773))</f>
        <v/>
      </c>
      <c r="X773" s="12">
        <f>IF(M773="","",MAX(0,N(X772),W773))</f>
        <v/>
      </c>
      <c r="Y773" s="12">
        <f>IF(M773="","",X773-W773)</f>
        <v/>
      </c>
      <c r="Z773" s="12">
        <f>IF(M773="","",IF(M773&lt;0,N(Z772)+1,0))</f>
        <v/>
      </c>
    </row>
    <row r="774">
      <c r="H774" s="7" t="n"/>
      <c r="I774" s="7" t="n"/>
      <c r="J774" s="7" t="n"/>
      <c r="K774" s="7" t="n"/>
      <c r="M774" s="8" t="n"/>
      <c r="P774" s="9" t="n"/>
      <c r="Q774" s="10" t="n"/>
      <c r="R774" s="10" t="n"/>
      <c r="S774" s="11" t="n"/>
      <c r="U774" s="12">
        <f>IF(OR(H774="",I774=""),"",ROUND(Settings!$B$4/ABS(H774-I774),2))</f>
        <v/>
      </c>
      <c r="V774" s="13">
        <f>IF(M774="","",ROUND(M774*Settings!$B$4,2))</f>
        <v/>
      </c>
      <c r="W774" s="12">
        <f>IF(M774="","",SUM($M$2:M774))</f>
        <v/>
      </c>
      <c r="X774" s="12">
        <f>IF(M774="","",MAX(0,N(X773),W774))</f>
        <v/>
      </c>
      <c r="Y774" s="12">
        <f>IF(M774="","",X774-W774)</f>
        <v/>
      </c>
      <c r="Z774" s="12">
        <f>IF(M774="","",IF(M774&lt;0,N(Z773)+1,0))</f>
        <v/>
      </c>
    </row>
    <row r="775">
      <c r="H775" s="7" t="n"/>
      <c r="I775" s="7" t="n"/>
      <c r="J775" s="7" t="n"/>
      <c r="K775" s="7" t="n"/>
      <c r="M775" s="8" t="n"/>
      <c r="P775" s="9" t="n"/>
      <c r="Q775" s="10" t="n"/>
      <c r="R775" s="10" t="n"/>
      <c r="S775" s="11" t="n"/>
      <c r="U775" s="12">
        <f>IF(OR(H775="",I775=""),"",ROUND(Settings!$B$4/ABS(H775-I775),2))</f>
        <v/>
      </c>
      <c r="V775" s="13">
        <f>IF(M775="","",ROUND(M775*Settings!$B$4,2))</f>
        <v/>
      </c>
      <c r="W775" s="12">
        <f>IF(M775="","",SUM($M$2:M775))</f>
        <v/>
      </c>
      <c r="X775" s="12">
        <f>IF(M775="","",MAX(0,N(X774),W775))</f>
        <v/>
      </c>
      <c r="Y775" s="12">
        <f>IF(M775="","",X775-W775)</f>
        <v/>
      </c>
      <c r="Z775" s="12">
        <f>IF(M775="","",IF(M775&lt;0,N(Z774)+1,0))</f>
        <v/>
      </c>
    </row>
    <row r="776">
      <c r="H776" s="7" t="n"/>
      <c r="I776" s="7" t="n"/>
      <c r="J776" s="7" t="n"/>
      <c r="K776" s="7" t="n"/>
      <c r="M776" s="8" t="n"/>
      <c r="P776" s="9" t="n"/>
      <c r="Q776" s="10" t="n"/>
      <c r="R776" s="10" t="n"/>
      <c r="S776" s="11" t="n"/>
      <c r="U776" s="12">
        <f>IF(OR(H776="",I776=""),"",ROUND(Settings!$B$4/ABS(H776-I776),2))</f>
        <v/>
      </c>
      <c r="V776" s="13">
        <f>IF(M776="","",ROUND(M776*Settings!$B$4,2))</f>
        <v/>
      </c>
      <c r="W776" s="12">
        <f>IF(M776="","",SUM($M$2:M776))</f>
        <v/>
      </c>
      <c r="X776" s="12">
        <f>IF(M776="","",MAX(0,N(X775),W776))</f>
        <v/>
      </c>
      <c r="Y776" s="12">
        <f>IF(M776="","",X776-W776)</f>
        <v/>
      </c>
      <c r="Z776" s="12">
        <f>IF(M776="","",IF(M776&lt;0,N(Z775)+1,0))</f>
        <v/>
      </c>
    </row>
    <row r="777">
      <c r="H777" s="7" t="n"/>
      <c r="I777" s="7" t="n"/>
      <c r="J777" s="7" t="n"/>
      <c r="K777" s="7" t="n"/>
      <c r="M777" s="8" t="n"/>
      <c r="P777" s="9" t="n"/>
      <c r="Q777" s="10" t="n"/>
      <c r="R777" s="10" t="n"/>
      <c r="S777" s="11" t="n"/>
      <c r="U777" s="12">
        <f>IF(OR(H777="",I777=""),"",ROUND(Settings!$B$4/ABS(H777-I777),2))</f>
        <v/>
      </c>
      <c r="V777" s="13">
        <f>IF(M777="","",ROUND(M777*Settings!$B$4,2))</f>
        <v/>
      </c>
      <c r="W777" s="12">
        <f>IF(M777="","",SUM($M$2:M777))</f>
        <v/>
      </c>
      <c r="X777" s="12">
        <f>IF(M777="","",MAX(0,N(X776),W777))</f>
        <v/>
      </c>
      <c r="Y777" s="12">
        <f>IF(M777="","",X777-W777)</f>
        <v/>
      </c>
      <c r="Z777" s="12">
        <f>IF(M777="","",IF(M777&lt;0,N(Z776)+1,0))</f>
        <v/>
      </c>
    </row>
    <row r="778">
      <c r="H778" s="7" t="n"/>
      <c r="I778" s="7" t="n"/>
      <c r="J778" s="7" t="n"/>
      <c r="K778" s="7" t="n"/>
      <c r="M778" s="8" t="n"/>
      <c r="P778" s="9" t="n"/>
      <c r="Q778" s="10" t="n"/>
      <c r="R778" s="10" t="n"/>
      <c r="S778" s="11" t="n"/>
      <c r="U778" s="12">
        <f>IF(OR(H778="",I778=""),"",ROUND(Settings!$B$4/ABS(H778-I778),2))</f>
        <v/>
      </c>
      <c r="V778" s="13">
        <f>IF(M778="","",ROUND(M778*Settings!$B$4,2))</f>
        <v/>
      </c>
      <c r="W778" s="12">
        <f>IF(M778="","",SUM($M$2:M778))</f>
        <v/>
      </c>
      <c r="X778" s="12">
        <f>IF(M778="","",MAX(0,N(X777),W778))</f>
        <v/>
      </c>
      <c r="Y778" s="12">
        <f>IF(M778="","",X778-W778)</f>
        <v/>
      </c>
      <c r="Z778" s="12">
        <f>IF(M778="","",IF(M778&lt;0,N(Z777)+1,0))</f>
        <v/>
      </c>
    </row>
    <row r="779">
      <c r="H779" s="7" t="n"/>
      <c r="I779" s="7" t="n"/>
      <c r="J779" s="7" t="n"/>
      <c r="K779" s="7" t="n"/>
      <c r="M779" s="8" t="n"/>
      <c r="P779" s="9" t="n"/>
      <c r="Q779" s="10" t="n"/>
      <c r="R779" s="10" t="n"/>
      <c r="S779" s="11" t="n"/>
      <c r="U779" s="12">
        <f>IF(OR(H779="",I779=""),"",ROUND(Settings!$B$4/ABS(H779-I779),2))</f>
        <v/>
      </c>
      <c r="V779" s="13">
        <f>IF(M779="","",ROUND(M779*Settings!$B$4,2))</f>
        <v/>
      </c>
      <c r="W779" s="12">
        <f>IF(M779="","",SUM($M$2:M779))</f>
        <v/>
      </c>
      <c r="X779" s="12">
        <f>IF(M779="","",MAX(0,N(X778),W779))</f>
        <v/>
      </c>
      <c r="Y779" s="12">
        <f>IF(M779="","",X779-W779)</f>
        <v/>
      </c>
      <c r="Z779" s="12">
        <f>IF(M779="","",IF(M779&lt;0,N(Z778)+1,0))</f>
        <v/>
      </c>
    </row>
    <row r="780">
      <c r="H780" s="7" t="n"/>
      <c r="I780" s="7" t="n"/>
      <c r="J780" s="7" t="n"/>
      <c r="K780" s="7" t="n"/>
      <c r="M780" s="8" t="n"/>
      <c r="P780" s="9" t="n"/>
      <c r="Q780" s="10" t="n"/>
      <c r="R780" s="10" t="n"/>
      <c r="S780" s="11" t="n"/>
      <c r="U780" s="12">
        <f>IF(OR(H780="",I780=""),"",ROUND(Settings!$B$4/ABS(H780-I780),2))</f>
        <v/>
      </c>
      <c r="V780" s="13">
        <f>IF(M780="","",ROUND(M780*Settings!$B$4,2))</f>
        <v/>
      </c>
      <c r="W780" s="12">
        <f>IF(M780="","",SUM($M$2:M780))</f>
        <v/>
      </c>
      <c r="X780" s="12">
        <f>IF(M780="","",MAX(0,N(X779),W780))</f>
        <v/>
      </c>
      <c r="Y780" s="12">
        <f>IF(M780="","",X780-W780)</f>
        <v/>
      </c>
      <c r="Z780" s="12">
        <f>IF(M780="","",IF(M780&lt;0,N(Z779)+1,0))</f>
        <v/>
      </c>
    </row>
    <row r="781">
      <c r="H781" s="7" t="n"/>
      <c r="I781" s="7" t="n"/>
      <c r="J781" s="7" t="n"/>
      <c r="K781" s="7" t="n"/>
      <c r="M781" s="8" t="n"/>
      <c r="P781" s="9" t="n"/>
      <c r="Q781" s="10" t="n"/>
      <c r="R781" s="10" t="n"/>
      <c r="S781" s="11" t="n"/>
      <c r="U781" s="12">
        <f>IF(OR(H781="",I781=""),"",ROUND(Settings!$B$4/ABS(H781-I781),2))</f>
        <v/>
      </c>
      <c r="V781" s="13">
        <f>IF(M781="","",ROUND(M781*Settings!$B$4,2))</f>
        <v/>
      </c>
      <c r="W781" s="12">
        <f>IF(M781="","",SUM($M$2:M781))</f>
        <v/>
      </c>
      <c r="X781" s="12">
        <f>IF(M781="","",MAX(0,N(X780),W781))</f>
        <v/>
      </c>
      <c r="Y781" s="12">
        <f>IF(M781="","",X781-W781)</f>
        <v/>
      </c>
      <c r="Z781" s="12">
        <f>IF(M781="","",IF(M781&lt;0,N(Z780)+1,0))</f>
        <v/>
      </c>
    </row>
    <row r="782">
      <c r="H782" s="7" t="n"/>
      <c r="I782" s="7" t="n"/>
      <c r="J782" s="7" t="n"/>
      <c r="K782" s="7" t="n"/>
      <c r="M782" s="8" t="n"/>
      <c r="P782" s="9" t="n"/>
      <c r="Q782" s="10" t="n"/>
      <c r="R782" s="10" t="n"/>
      <c r="S782" s="11" t="n"/>
      <c r="U782" s="12">
        <f>IF(OR(H782="",I782=""),"",ROUND(Settings!$B$4/ABS(H782-I782),2))</f>
        <v/>
      </c>
      <c r="V782" s="13">
        <f>IF(M782="","",ROUND(M782*Settings!$B$4,2))</f>
        <v/>
      </c>
      <c r="W782" s="12">
        <f>IF(M782="","",SUM($M$2:M782))</f>
        <v/>
      </c>
      <c r="X782" s="12">
        <f>IF(M782="","",MAX(0,N(X781),W782))</f>
        <v/>
      </c>
      <c r="Y782" s="12">
        <f>IF(M782="","",X782-W782)</f>
        <v/>
      </c>
      <c r="Z782" s="12">
        <f>IF(M782="","",IF(M782&lt;0,N(Z781)+1,0))</f>
        <v/>
      </c>
    </row>
    <row r="783">
      <c r="H783" s="7" t="n"/>
      <c r="I783" s="7" t="n"/>
      <c r="J783" s="7" t="n"/>
      <c r="K783" s="7" t="n"/>
      <c r="M783" s="8" t="n"/>
      <c r="P783" s="9" t="n"/>
      <c r="Q783" s="10" t="n"/>
      <c r="R783" s="10" t="n"/>
      <c r="S783" s="11" t="n"/>
      <c r="U783" s="12">
        <f>IF(OR(H783="",I783=""),"",ROUND(Settings!$B$4/ABS(H783-I783),2))</f>
        <v/>
      </c>
      <c r="V783" s="13">
        <f>IF(M783="","",ROUND(M783*Settings!$B$4,2))</f>
        <v/>
      </c>
      <c r="W783" s="12">
        <f>IF(M783="","",SUM($M$2:M783))</f>
        <v/>
      </c>
      <c r="X783" s="12">
        <f>IF(M783="","",MAX(0,N(X782),W783))</f>
        <v/>
      </c>
      <c r="Y783" s="12">
        <f>IF(M783="","",X783-W783)</f>
        <v/>
      </c>
      <c r="Z783" s="12">
        <f>IF(M783="","",IF(M783&lt;0,N(Z782)+1,0))</f>
        <v/>
      </c>
    </row>
    <row r="784">
      <c r="H784" s="7" t="n"/>
      <c r="I784" s="7" t="n"/>
      <c r="J784" s="7" t="n"/>
      <c r="K784" s="7" t="n"/>
      <c r="M784" s="8" t="n"/>
      <c r="P784" s="9" t="n"/>
      <c r="Q784" s="10" t="n"/>
      <c r="R784" s="10" t="n"/>
      <c r="S784" s="11" t="n"/>
      <c r="U784" s="12">
        <f>IF(OR(H784="",I784=""),"",ROUND(Settings!$B$4/ABS(H784-I784),2))</f>
        <v/>
      </c>
      <c r="V784" s="13">
        <f>IF(M784="","",ROUND(M784*Settings!$B$4,2))</f>
        <v/>
      </c>
      <c r="W784" s="12">
        <f>IF(M784="","",SUM($M$2:M784))</f>
        <v/>
      </c>
      <c r="X784" s="12">
        <f>IF(M784="","",MAX(0,N(X783),W784))</f>
        <v/>
      </c>
      <c r="Y784" s="12">
        <f>IF(M784="","",X784-W784)</f>
        <v/>
      </c>
      <c r="Z784" s="12">
        <f>IF(M784="","",IF(M784&lt;0,N(Z783)+1,0))</f>
        <v/>
      </c>
    </row>
    <row r="785">
      <c r="H785" s="7" t="n"/>
      <c r="I785" s="7" t="n"/>
      <c r="J785" s="7" t="n"/>
      <c r="K785" s="7" t="n"/>
      <c r="M785" s="8" t="n"/>
      <c r="P785" s="9" t="n"/>
      <c r="Q785" s="10" t="n"/>
      <c r="R785" s="10" t="n"/>
      <c r="S785" s="11" t="n"/>
      <c r="U785" s="12">
        <f>IF(OR(H785="",I785=""),"",ROUND(Settings!$B$4/ABS(H785-I785),2))</f>
        <v/>
      </c>
      <c r="V785" s="13">
        <f>IF(M785="","",ROUND(M785*Settings!$B$4,2))</f>
        <v/>
      </c>
      <c r="W785" s="12">
        <f>IF(M785="","",SUM($M$2:M785))</f>
        <v/>
      </c>
      <c r="X785" s="12">
        <f>IF(M785="","",MAX(0,N(X784),W785))</f>
        <v/>
      </c>
      <c r="Y785" s="12">
        <f>IF(M785="","",X785-W785)</f>
        <v/>
      </c>
      <c r="Z785" s="12">
        <f>IF(M785="","",IF(M785&lt;0,N(Z784)+1,0))</f>
        <v/>
      </c>
    </row>
    <row r="786">
      <c r="H786" s="7" t="n"/>
      <c r="I786" s="7" t="n"/>
      <c r="J786" s="7" t="n"/>
      <c r="K786" s="7" t="n"/>
      <c r="M786" s="8" t="n"/>
      <c r="P786" s="9" t="n"/>
      <c r="Q786" s="10" t="n"/>
      <c r="R786" s="10" t="n"/>
      <c r="S786" s="11" t="n"/>
      <c r="U786" s="12">
        <f>IF(OR(H786="",I786=""),"",ROUND(Settings!$B$4/ABS(H786-I786),2))</f>
        <v/>
      </c>
      <c r="V786" s="13">
        <f>IF(M786="","",ROUND(M786*Settings!$B$4,2))</f>
        <v/>
      </c>
      <c r="W786" s="12">
        <f>IF(M786="","",SUM($M$2:M786))</f>
        <v/>
      </c>
      <c r="X786" s="12">
        <f>IF(M786="","",MAX(0,N(X785),W786))</f>
        <v/>
      </c>
      <c r="Y786" s="12">
        <f>IF(M786="","",X786-W786)</f>
        <v/>
      </c>
      <c r="Z786" s="12">
        <f>IF(M786="","",IF(M786&lt;0,N(Z785)+1,0))</f>
        <v/>
      </c>
    </row>
    <row r="787">
      <c r="H787" s="7" t="n"/>
      <c r="I787" s="7" t="n"/>
      <c r="J787" s="7" t="n"/>
      <c r="K787" s="7" t="n"/>
      <c r="M787" s="8" t="n"/>
      <c r="P787" s="9" t="n"/>
      <c r="Q787" s="10" t="n"/>
      <c r="R787" s="10" t="n"/>
      <c r="S787" s="11" t="n"/>
      <c r="U787" s="12">
        <f>IF(OR(H787="",I787=""),"",ROUND(Settings!$B$4/ABS(H787-I787),2))</f>
        <v/>
      </c>
      <c r="V787" s="13">
        <f>IF(M787="","",ROUND(M787*Settings!$B$4,2))</f>
        <v/>
      </c>
      <c r="W787" s="12">
        <f>IF(M787="","",SUM($M$2:M787))</f>
        <v/>
      </c>
      <c r="X787" s="12">
        <f>IF(M787="","",MAX(0,N(X786),W787))</f>
        <v/>
      </c>
      <c r="Y787" s="12">
        <f>IF(M787="","",X787-W787)</f>
        <v/>
      </c>
      <c r="Z787" s="12">
        <f>IF(M787="","",IF(M787&lt;0,N(Z786)+1,0))</f>
        <v/>
      </c>
    </row>
    <row r="788">
      <c r="H788" s="7" t="n"/>
      <c r="I788" s="7" t="n"/>
      <c r="J788" s="7" t="n"/>
      <c r="K788" s="7" t="n"/>
      <c r="M788" s="8" t="n"/>
      <c r="P788" s="9" t="n"/>
      <c r="Q788" s="10" t="n"/>
      <c r="R788" s="10" t="n"/>
      <c r="S788" s="11" t="n"/>
      <c r="U788" s="12">
        <f>IF(OR(H788="",I788=""),"",ROUND(Settings!$B$4/ABS(H788-I788),2))</f>
        <v/>
      </c>
      <c r="V788" s="13">
        <f>IF(M788="","",ROUND(M788*Settings!$B$4,2))</f>
        <v/>
      </c>
      <c r="W788" s="12">
        <f>IF(M788="","",SUM($M$2:M788))</f>
        <v/>
      </c>
      <c r="X788" s="12">
        <f>IF(M788="","",MAX(0,N(X787),W788))</f>
        <v/>
      </c>
      <c r="Y788" s="12">
        <f>IF(M788="","",X788-W788)</f>
        <v/>
      </c>
      <c r="Z788" s="12">
        <f>IF(M788="","",IF(M788&lt;0,N(Z787)+1,0))</f>
        <v/>
      </c>
    </row>
    <row r="789">
      <c r="H789" s="7" t="n"/>
      <c r="I789" s="7" t="n"/>
      <c r="J789" s="7" t="n"/>
      <c r="K789" s="7" t="n"/>
      <c r="M789" s="8" t="n"/>
      <c r="P789" s="9" t="n"/>
      <c r="Q789" s="10" t="n"/>
      <c r="R789" s="10" t="n"/>
      <c r="S789" s="11" t="n"/>
      <c r="U789" s="12">
        <f>IF(OR(H789="",I789=""),"",ROUND(Settings!$B$4/ABS(H789-I789),2))</f>
        <v/>
      </c>
      <c r="V789" s="13">
        <f>IF(M789="","",ROUND(M789*Settings!$B$4,2))</f>
        <v/>
      </c>
      <c r="W789" s="12">
        <f>IF(M789="","",SUM($M$2:M789))</f>
        <v/>
      </c>
      <c r="X789" s="12">
        <f>IF(M789="","",MAX(0,N(X788),W789))</f>
        <v/>
      </c>
      <c r="Y789" s="12">
        <f>IF(M789="","",X789-W789)</f>
        <v/>
      </c>
      <c r="Z789" s="12">
        <f>IF(M789="","",IF(M789&lt;0,N(Z788)+1,0))</f>
        <v/>
      </c>
    </row>
    <row r="790">
      <c r="H790" s="7" t="n"/>
      <c r="I790" s="7" t="n"/>
      <c r="J790" s="7" t="n"/>
      <c r="K790" s="7" t="n"/>
      <c r="M790" s="8" t="n"/>
      <c r="P790" s="9" t="n"/>
      <c r="Q790" s="10" t="n"/>
      <c r="R790" s="10" t="n"/>
      <c r="S790" s="11" t="n"/>
      <c r="U790" s="12">
        <f>IF(OR(H790="",I790=""),"",ROUND(Settings!$B$4/ABS(H790-I790),2))</f>
        <v/>
      </c>
      <c r="V790" s="13">
        <f>IF(M790="","",ROUND(M790*Settings!$B$4,2))</f>
        <v/>
      </c>
      <c r="W790" s="12">
        <f>IF(M790="","",SUM($M$2:M790))</f>
        <v/>
      </c>
      <c r="X790" s="12">
        <f>IF(M790="","",MAX(0,N(X789),W790))</f>
        <v/>
      </c>
      <c r="Y790" s="12">
        <f>IF(M790="","",X790-W790)</f>
        <v/>
      </c>
      <c r="Z790" s="12">
        <f>IF(M790="","",IF(M790&lt;0,N(Z789)+1,0))</f>
        <v/>
      </c>
    </row>
    <row r="791">
      <c r="H791" s="7" t="n"/>
      <c r="I791" s="7" t="n"/>
      <c r="J791" s="7" t="n"/>
      <c r="K791" s="7" t="n"/>
      <c r="M791" s="8" t="n"/>
      <c r="P791" s="9" t="n"/>
      <c r="Q791" s="10" t="n"/>
      <c r="R791" s="10" t="n"/>
      <c r="S791" s="11" t="n"/>
      <c r="U791" s="12">
        <f>IF(OR(H791="",I791=""),"",ROUND(Settings!$B$4/ABS(H791-I791),2))</f>
        <v/>
      </c>
      <c r="V791" s="13">
        <f>IF(M791="","",ROUND(M791*Settings!$B$4,2))</f>
        <v/>
      </c>
      <c r="W791" s="12">
        <f>IF(M791="","",SUM($M$2:M791))</f>
        <v/>
      </c>
      <c r="X791" s="12">
        <f>IF(M791="","",MAX(0,N(X790),W791))</f>
        <v/>
      </c>
      <c r="Y791" s="12">
        <f>IF(M791="","",X791-W791)</f>
        <v/>
      </c>
      <c r="Z791" s="12">
        <f>IF(M791="","",IF(M791&lt;0,N(Z790)+1,0))</f>
        <v/>
      </c>
    </row>
    <row r="792">
      <c r="H792" s="7" t="n"/>
      <c r="I792" s="7" t="n"/>
      <c r="J792" s="7" t="n"/>
      <c r="K792" s="7" t="n"/>
      <c r="M792" s="8" t="n"/>
      <c r="P792" s="9" t="n"/>
      <c r="Q792" s="10" t="n"/>
      <c r="R792" s="10" t="n"/>
      <c r="S792" s="11" t="n"/>
      <c r="U792" s="12">
        <f>IF(OR(H792="",I792=""),"",ROUND(Settings!$B$4/ABS(H792-I792),2))</f>
        <v/>
      </c>
      <c r="V792" s="13">
        <f>IF(M792="","",ROUND(M792*Settings!$B$4,2))</f>
        <v/>
      </c>
      <c r="W792" s="12">
        <f>IF(M792="","",SUM($M$2:M792))</f>
        <v/>
      </c>
      <c r="X792" s="12">
        <f>IF(M792="","",MAX(0,N(X791),W792))</f>
        <v/>
      </c>
      <c r="Y792" s="12">
        <f>IF(M792="","",X792-W792)</f>
        <v/>
      </c>
      <c r="Z792" s="12">
        <f>IF(M792="","",IF(M792&lt;0,N(Z791)+1,0))</f>
        <v/>
      </c>
    </row>
    <row r="793">
      <c r="H793" s="7" t="n"/>
      <c r="I793" s="7" t="n"/>
      <c r="J793" s="7" t="n"/>
      <c r="K793" s="7" t="n"/>
      <c r="M793" s="8" t="n"/>
      <c r="P793" s="9" t="n"/>
      <c r="Q793" s="10" t="n"/>
      <c r="R793" s="10" t="n"/>
      <c r="S793" s="11" t="n"/>
      <c r="U793" s="12">
        <f>IF(OR(H793="",I793=""),"",ROUND(Settings!$B$4/ABS(H793-I793),2))</f>
        <v/>
      </c>
      <c r="V793" s="13">
        <f>IF(M793="","",ROUND(M793*Settings!$B$4,2))</f>
        <v/>
      </c>
      <c r="W793" s="12">
        <f>IF(M793="","",SUM($M$2:M793))</f>
        <v/>
      </c>
      <c r="X793" s="12">
        <f>IF(M793="","",MAX(0,N(X792),W793))</f>
        <v/>
      </c>
      <c r="Y793" s="12">
        <f>IF(M793="","",X793-W793)</f>
        <v/>
      </c>
      <c r="Z793" s="12">
        <f>IF(M793="","",IF(M793&lt;0,N(Z792)+1,0))</f>
        <v/>
      </c>
    </row>
    <row r="794">
      <c r="H794" s="7" t="n"/>
      <c r="I794" s="7" t="n"/>
      <c r="J794" s="7" t="n"/>
      <c r="K794" s="7" t="n"/>
      <c r="M794" s="8" t="n"/>
      <c r="P794" s="9" t="n"/>
      <c r="Q794" s="10" t="n"/>
      <c r="R794" s="10" t="n"/>
      <c r="S794" s="11" t="n"/>
      <c r="U794" s="12">
        <f>IF(OR(H794="",I794=""),"",ROUND(Settings!$B$4/ABS(H794-I794),2))</f>
        <v/>
      </c>
      <c r="V794" s="13">
        <f>IF(M794="","",ROUND(M794*Settings!$B$4,2))</f>
        <v/>
      </c>
      <c r="W794" s="12">
        <f>IF(M794="","",SUM($M$2:M794))</f>
        <v/>
      </c>
      <c r="X794" s="12">
        <f>IF(M794="","",MAX(0,N(X793),W794))</f>
        <v/>
      </c>
      <c r="Y794" s="12">
        <f>IF(M794="","",X794-W794)</f>
        <v/>
      </c>
      <c r="Z794" s="12">
        <f>IF(M794="","",IF(M794&lt;0,N(Z793)+1,0))</f>
        <v/>
      </c>
    </row>
    <row r="795">
      <c r="H795" s="7" t="n"/>
      <c r="I795" s="7" t="n"/>
      <c r="J795" s="7" t="n"/>
      <c r="K795" s="7" t="n"/>
      <c r="M795" s="8" t="n"/>
      <c r="P795" s="9" t="n"/>
      <c r="Q795" s="10" t="n"/>
      <c r="R795" s="10" t="n"/>
      <c r="S795" s="11" t="n"/>
      <c r="U795" s="12">
        <f>IF(OR(H795="",I795=""),"",ROUND(Settings!$B$4/ABS(H795-I795),2))</f>
        <v/>
      </c>
      <c r="V795" s="13">
        <f>IF(M795="","",ROUND(M795*Settings!$B$4,2))</f>
        <v/>
      </c>
      <c r="W795" s="12">
        <f>IF(M795="","",SUM($M$2:M795))</f>
        <v/>
      </c>
      <c r="X795" s="12">
        <f>IF(M795="","",MAX(0,N(X794),W795))</f>
        <v/>
      </c>
      <c r="Y795" s="12">
        <f>IF(M795="","",X795-W795)</f>
        <v/>
      </c>
      <c r="Z795" s="12">
        <f>IF(M795="","",IF(M795&lt;0,N(Z794)+1,0))</f>
        <v/>
      </c>
    </row>
    <row r="796">
      <c r="H796" s="7" t="n"/>
      <c r="I796" s="7" t="n"/>
      <c r="J796" s="7" t="n"/>
      <c r="K796" s="7" t="n"/>
      <c r="M796" s="8" t="n"/>
      <c r="P796" s="9" t="n"/>
      <c r="Q796" s="10" t="n"/>
      <c r="R796" s="10" t="n"/>
      <c r="S796" s="11" t="n"/>
      <c r="U796" s="12">
        <f>IF(OR(H796="",I796=""),"",ROUND(Settings!$B$4/ABS(H796-I796),2))</f>
        <v/>
      </c>
      <c r="V796" s="13">
        <f>IF(M796="","",ROUND(M796*Settings!$B$4,2))</f>
        <v/>
      </c>
      <c r="W796" s="12">
        <f>IF(M796="","",SUM($M$2:M796))</f>
        <v/>
      </c>
      <c r="X796" s="12">
        <f>IF(M796="","",MAX(0,N(X795),W796))</f>
        <v/>
      </c>
      <c r="Y796" s="12">
        <f>IF(M796="","",X796-W796)</f>
        <v/>
      </c>
      <c r="Z796" s="12">
        <f>IF(M796="","",IF(M796&lt;0,N(Z795)+1,0))</f>
        <v/>
      </c>
    </row>
    <row r="797">
      <c r="H797" s="7" t="n"/>
      <c r="I797" s="7" t="n"/>
      <c r="J797" s="7" t="n"/>
      <c r="K797" s="7" t="n"/>
      <c r="M797" s="8" t="n"/>
      <c r="P797" s="9" t="n"/>
      <c r="Q797" s="10" t="n"/>
      <c r="R797" s="10" t="n"/>
      <c r="S797" s="11" t="n"/>
      <c r="U797" s="12">
        <f>IF(OR(H797="",I797=""),"",ROUND(Settings!$B$4/ABS(H797-I797),2))</f>
        <v/>
      </c>
      <c r="V797" s="13">
        <f>IF(M797="","",ROUND(M797*Settings!$B$4,2))</f>
        <v/>
      </c>
      <c r="W797" s="12">
        <f>IF(M797="","",SUM($M$2:M797))</f>
        <v/>
      </c>
      <c r="X797" s="12">
        <f>IF(M797="","",MAX(0,N(X796),W797))</f>
        <v/>
      </c>
      <c r="Y797" s="12">
        <f>IF(M797="","",X797-W797)</f>
        <v/>
      </c>
      <c r="Z797" s="12">
        <f>IF(M797="","",IF(M797&lt;0,N(Z796)+1,0))</f>
        <v/>
      </c>
    </row>
    <row r="798">
      <c r="H798" s="7" t="n"/>
      <c r="I798" s="7" t="n"/>
      <c r="J798" s="7" t="n"/>
      <c r="K798" s="7" t="n"/>
      <c r="M798" s="8" t="n"/>
      <c r="P798" s="9" t="n"/>
      <c r="Q798" s="10" t="n"/>
      <c r="R798" s="10" t="n"/>
      <c r="S798" s="11" t="n"/>
      <c r="U798" s="12">
        <f>IF(OR(H798="",I798=""),"",ROUND(Settings!$B$4/ABS(H798-I798),2))</f>
        <v/>
      </c>
      <c r="V798" s="13">
        <f>IF(M798="","",ROUND(M798*Settings!$B$4,2))</f>
        <v/>
      </c>
      <c r="W798" s="12">
        <f>IF(M798="","",SUM($M$2:M798))</f>
        <v/>
      </c>
      <c r="X798" s="12">
        <f>IF(M798="","",MAX(0,N(X797),W798))</f>
        <v/>
      </c>
      <c r="Y798" s="12">
        <f>IF(M798="","",X798-W798)</f>
        <v/>
      </c>
      <c r="Z798" s="12">
        <f>IF(M798="","",IF(M798&lt;0,N(Z797)+1,0))</f>
        <v/>
      </c>
    </row>
    <row r="799">
      <c r="H799" s="7" t="n"/>
      <c r="I799" s="7" t="n"/>
      <c r="J799" s="7" t="n"/>
      <c r="K799" s="7" t="n"/>
      <c r="M799" s="8" t="n"/>
      <c r="P799" s="9" t="n"/>
      <c r="Q799" s="10" t="n"/>
      <c r="R799" s="10" t="n"/>
      <c r="S799" s="11" t="n"/>
      <c r="U799" s="12">
        <f>IF(OR(H799="",I799=""),"",ROUND(Settings!$B$4/ABS(H799-I799),2))</f>
        <v/>
      </c>
      <c r="V799" s="13">
        <f>IF(M799="","",ROUND(M799*Settings!$B$4,2))</f>
        <v/>
      </c>
      <c r="W799" s="12">
        <f>IF(M799="","",SUM($M$2:M799))</f>
        <v/>
      </c>
      <c r="X799" s="12">
        <f>IF(M799="","",MAX(0,N(X798),W799))</f>
        <v/>
      </c>
      <c r="Y799" s="12">
        <f>IF(M799="","",X799-W799)</f>
        <v/>
      </c>
      <c r="Z799" s="12">
        <f>IF(M799="","",IF(M799&lt;0,N(Z798)+1,0))</f>
        <v/>
      </c>
    </row>
    <row r="800">
      <c r="H800" s="7" t="n"/>
      <c r="I800" s="7" t="n"/>
      <c r="J800" s="7" t="n"/>
      <c r="K800" s="7" t="n"/>
      <c r="M800" s="8" t="n"/>
      <c r="P800" s="9" t="n"/>
      <c r="Q800" s="10" t="n"/>
      <c r="R800" s="10" t="n"/>
      <c r="S800" s="11" t="n"/>
      <c r="U800" s="12">
        <f>IF(OR(H800="",I800=""),"",ROUND(Settings!$B$4/ABS(H800-I800),2))</f>
        <v/>
      </c>
      <c r="V800" s="13">
        <f>IF(M800="","",ROUND(M800*Settings!$B$4,2))</f>
        <v/>
      </c>
      <c r="W800" s="12">
        <f>IF(M800="","",SUM($M$2:M800))</f>
        <v/>
      </c>
      <c r="X800" s="12">
        <f>IF(M800="","",MAX(0,N(X799),W800))</f>
        <v/>
      </c>
      <c r="Y800" s="12">
        <f>IF(M800="","",X800-W800)</f>
        <v/>
      </c>
      <c r="Z800" s="12">
        <f>IF(M800="","",IF(M800&lt;0,N(Z799)+1,0))</f>
        <v/>
      </c>
    </row>
    <row r="801">
      <c r="H801" s="7" t="n"/>
      <c r="I801" s="7" t="n"/>
      <c r="J801" s="7" t="n"/>
      <c r="K801" s="7" t="n"/>
      <c r="M801" s="8" t="n"/>
      <c r="P801" s="9" t="n"/>
      <c r="Q801" s="10" t="n"/>
      <c r="R801" s="10" t="n"/>
      <c r="S801" s="11" t="n"/>
      <c r="U801" s="12">
        <f>IF(OR(H801="",I801=""),"",ROUND(Settings!$B$4/ABS(H801-I801),2))</f>
        <v/>
      </c>
      <c r="V801" s="13">
        <f>IF(M801="","",ROUND(M801*Settings!$B$4,2))</f>
        <v/>
      </c>
      <c r="W801" s="12">
        <f>IF(M801="","",SUM($M$2:M801))</f>
        <v/>
      </c>
      <c r="X801" s="12">
        <f>IF(M801="","",MAX(0,N(X800),W801))</f>
        <v/>
      </c>
      <c r="Y801" s="12">
        <f>IF(M801="","",X801-W801)</f>
        <v/>
      </c>
      <c r="Z801" s="12">
        <f>IF(M801="","",IF(M801&lt;0,N(Z800)+1,0))</f>
        <v/>
      </c>
    </row>
    <row r="802">
      <c r="H802" s="7" t="n"/>
      <c r="I802" s="7" t="n"/>
      <c r="J802" s="7" t="n"/>
      <c r="K802" s="7" t="n"/>
      <c r="M802" s="8" t="n"/>
      <c r="P802" s="9" t="n"/>
      <c r="Q802" s="10" t="n"/>
      <c r="R802" s="10" t="n"/>
      <c r="S802" s="11" t="n"/>
      <c r="U802" s="12">
        <f>IF(OR(H802="",I802=""),"",ROUND(Settings!$B$4/ABS(H802-I802),2))</f>
        <v/>
      </c>
      <c r="V802" s="13">
        <f>IF(M802="","",ROUND(M802*Settings!$B$4,2))</f>
        <v/>
      </c>
      <c r="W802" s="12">
        <f>IF(M802="","",SUM($M$2:M802))</f>
        <v/>
      </c>
      <c r="X802" s="12">
        <f>IF(M802="","",MAX(0,N(X801),W802))</f>
        <v/>
      </c>
      <c r="Y802" s="12">
        <f>IF(M802="","",X802-W802)</f>
        <v/>
      </c>
      <c r="Z802" s="12">
        <f>IF(M802="","",IF(M802&lt;0,N(Z801)+1,0))</f>
        <v/>
      </c>
    </row>
    <row r="803">
      <c r="H803" s="7" t="n"/>
      <c r="I803" s="7" t="n"/>
      <c r="J803" s="7" t="n"/>
      <c r="K803" s="7" t="n"/>
      <c r="M803" s="8" t="n"/>
      <c r="P803" s="9" t="n"/>
      <c r="Q803" s="10" t="n"/>
      <c r="R803" s="10" t="n"/>
      <c r="S803" s="11" t="n"/>
      <c r="U803" s="12">
        <f>IF(OR(H803="",I803=""),"",ROUND(Settings!$B$4/ABS(H803-I803),2))</f>
        <v/>
      </c>
      <c r="V803" s="13">
        <f>IF(M803="","",ROUND(M803*Settings!$B$4,2))</f>
        <v/>
      </c>
      <c r="W803" s="12">
        <f>IF(M803="","",SUM($M$2:M803))</f>
        <v/>
      </c>
      <c r="X803" s="12">
        <f>IF(M803="","",MAX(0,N(X802),W803))</f>
        <v/>
      </c>
      <c r="Y803" s="12">
        <f>IF(M803="","",X803-W803)</f>
        <v/>
      </c>
      <c r="Z803" s="12">
        <f>IF(M803="","",IF(M803&lt;0,N(Z802)+1,0))</f>
        <v/>
      </c>
    </row>
    <row r="804">
      <c r="H804" s="7" t="n"/>
      <c r="I804" s="7" t="n"/>
      <c r="J804" s="7" t="n"/>
      <c r="K804" s="7" t="n"/>
      <c r="M804" s="8" t="n"/>
      <c r="P804" s="9" t="n"/>
      <c r="Q804" s="10" t="n"/>
      <c r="R804" s="10" t="n"/>
      <c r="S804" s="11" t="n"/>
      <c r="U804" s="12">
        <f>IF(OR(H804="",I804=""),"",ROUND(Settings!$B$4/ABS(H804-I804),2))</f>
        <v/>
      </c>
      <c r="V804" s="13">
        <f>IF(M804="","",ROUND(M804*Settings!$B$4,2))</f>
        <v/>
      </c>
      <c r="W804" s="12">
        <f>IF(M804="","",SUM($M$2:M804))</f>
        <v/>
      </c>
      <c r="X804" s="12">
        <f>IF(M804="","",MAX(0,N(X803),W804))</f>
        <v/>
      </c>
      <c r="Y804" s="12">
        <f>IF(M804="","",X804-W804)</f>
        <v/>
      </c>
      <c r="Z804" s="12">
        <f>IF(M804="","",IF(M804&lt;0,N(Z803)+1,0))</f>
        <v/>
      </c>
    </row>
    <row r="805">
      <c r="H805" s="7" t="n"/>
      <c r="I805" s="7" t="n"/>
      <c r="J805" s="7" t="n"/>
      <c r="K805" s="7" t="n"/>
      <c r="M805" s="8" t="n"/>
      <c r="P805" s="9" t="n"/>
      <c r="Q805" s="10" t="n"/>
      <c r="R805" s="10" t="n"/>
      <c r="S805" s="11" t="n"/>
      <c r="U805" s="12">
        <f>IF(OR(H805="",I805=""),"",ROUND(Settings!$B$4/ABS(H805-I805),2))</f>
        <v/>
      </c>
      <c r="V805" s="13">
        <f>IF(M805="","",ROUND(M805*Settings!$B$4,2))</f>
        <v/>
      </c>
      <c r="W805" s="12">
        <f>IF(M805="","",SUM($M$2:M805))</f>
        <v/>
      </c>
      <c r="X805" s="12">
        <f>IF(M805="","",MAX(0,N(X804),W805))</f>
        <v/>
      </c>
      <c r="Y805" s="12">
        <f>IF(M805="","",X805-W805)</f>
        <v/>
      </c>
      <c r="Z805" s="12">
        <f>IF(M805="","",IF(M805&lt;0,N(Z804)+1,0))</f>
        <v/>
      </c>
    </row>
    <row r="806">
      <c r="H806" s="7" t="n"/>
      <c r="I806" s="7" t="n"/>
      <c r="J806" s="7" t="n"/>
      <c r="K806" s="7" t="n"/>
      <c r="M806" s="8" t="n"/>
      <c r="P806" s="9" t="n"/>
      <c r="Q806" s="10" t="n"/>
      <c r="R806" s="10" t="n"/>
      <c r="S806" s="11" t="n"/>
      <c r="U806" s="12">
        <f>IF(OR(H806="",I806=""),"",ROUND(Settings!$B$4/ABS(H806-I806),2))</f>
        <v/>
      </c>
      <c r="V806" s="13">
        <f>IF(M806="","",ROUND(M806*Settings!$B$4,2))</f>
        <v/>
      </c>
      <c r="W806" s="12">
        <f>IF(M806="","",SUM($M$2:M806))</f>
        <v/>
      </c>
      <c r="X806" s="12">
        <f>IF(M806="","",MAX(0,N(X805),W806))</f>
        <v/>
      </c>
      <c r="Y806" s="12">
        <f>IF(M806="","",X806-W806)</f>
        <v/>
      </c>
      <c r="Z806" s="12">
        <f>IF(M806="","",IF(M806&lt;0,N(Z805)+1,0))</f>
        <v/>
      </c>
    </row>
    <row r="807">
      <c r="H807" s="7" t="n"/>
      <c r="I807" s="7" t="n"/>
      <c r="J807" s="7" t="n"/>
      <c r="K807" s="7" t="n"/>
      <c r="M807" s="8" t="n"/>
      <c r="P807" s="9" t="n"/>
      <c r="Q807" s="10" t="n"/>
      <c r="R807" s="10" t="n"/>
      <c r="S807" s="11" t="n"/>
      <c r="U807" s="12">
        <f>IF(OR(H807="",I807=""),"",ROUND(Settings!$B$4/ABS(H807-I807),2))</f>
        <v/>
      </c>
      <c r="V807" s="13">
        <f>IF(M807="","",ROUND(M807*Settings!$B$4,2))</f>
        <v/>
      </c>
      <c r="W807" s="12">
        <f>IF(M807="","",SUM($M$2:M807))</f>
        <v/>
      </c>
      <c r="X807" s="12">
        <f>IF(M807="","",MAX(0,N(X806),W807))</f>
        <v/>
      </c>
      <c r="Y807" s="12">
        <f>IF(M807="","",X807-W807)</f>
        <v/>
      </c>
      <c r="Z807" s="12">
        <f>IF(M807="","",IF(M807&lt;0,N(Z806)+1,0))</f>
        <v/>
      </c>
    </row>
    <row r="808">
      <c r="H808" s="7" t="n"/>
      <c r="I808" s="7" t="n"/>
      <c r="J808" s="7" t="n"/>
      <c r="K808" s="7" t="n"/>
      <c r="M808" s="8" t="n"/>
      <c r="P808" s="9" t="n"/>
      <c r="Q808" s="10" t="n"/>
      <c r="R808" s="10" t="n"/>
      <c r="S808" s="11" t="n"/>
      <c r="U808" s="12">
        <f>IF(OR(H808="",I808=""),"",ROUND(Settings!$B$4/ABS(H808-I808),2))</f>
        <v/>
      </c>
      <c r="V808" s="13">
        <f>IF(M808="","",ROUND(M808*Settings!$B$4,2))</f>
        <v/>
      </c>
      <c r="W808" s="12">
        <f>IF(M808="","",SUM($M$2:M808))</f>
        <v/>
      </c>
      <c r="X808" s="12">
        <f>IF(M808="","",MAX(0,N(X807),W808))</f>
        <v/>
      </c>
      <c r="Y808" s="12">
        <f>IF(M808="","",X808-W808)</f>
        <v/>
      </c>
      <c r="Z808" s="12">
        <f>IF(M808="","",IF(M808&lt;0,N(Z807)+1,0))</f>
        <v/>
      </c>
    </row>
    <row r="809">
      <c r="H809" s="7" t="n"/>
      <c r="I809" s="7" t="n"/>
      <c r="J809" s="7" t="n"/>
      <c r="K809" s="7" t="n"/>
      <c r="M809" s="8" t="n"/>
      <c r="P809" s="9" t="n"/>
      <c r="Q809" s="10" t="n"/>
      <c r="R809" s="10" t="n"/>
      <c r="S809" s="11" t="n"/>
      <c r="U809" s="12">
        <f>IF(OR(H809="",I809=""),"",ROUND(Settings!$B$4/ABS(H809-I809),2))</f>
        <v/>
      </c>
      <c r="V809" s="13">
        <f>IF(M809="","",ROUND(M809*Settings!$B$4,2))</f>
        <v/>
      </c>
      <c r="W809" s="12">
        <f>IF(M809="","",SUM($M$2:M809))</f>
        <v/>
      </c>
      <c r="X809" s="12">
        <f>IF(M809="","",MAX(0,N(X808),W809))</f>
        <v/>
      </c>
      <c r="Y809" s="12">
        <f>IF(M809="","",X809-W809)</f>
        <v/>
      </c>
      <c r="Z809" s="12">
        <f>IF(M809="","",IF(M809&lt;0,N(Z808)+1,0))</f>
        <v/>
      </c>
    </row>
    <row r="810">
      <c r="H810" s="7" t="n"/>
      <c r="I810" s="7" t="n"/>
      <c r="J810" s="7" t="n"/>
      <c r="K810" s="7" t="n"/>
      <c r="M810" s="8" t="n"/>
      <c r="P810" s="9" t="n"/>
      <c r="Q810" s="10" t="n"/>
      <c r="R810" s="10" t="n"/>
      <c r="S810" s="11" t="n"/>
      <c r="U810" s="12">
        <f>IF(OR(H810="",I810=""),"",ROUND(Settings!$B$4/ABS(H810-I810),2))</f>
        <v/>
      </c>
      <c r="V810" s="13">
        <f>IF(M810="","",ROUND(M810*Settings!$B$4,2))</f>
        <v/>
      </c>
      <c r="W810" s="12">
        <f>IF(M810="","",SUM($M$2:M810))</f>
        <v/>
      </c>
      <c r="X810" s="12">
        <f>IF(M810="","",MAX(0,N(X809),W810))</f>
        <v/>
      </c>
      <c r="Y810" s="12">
        <f>IF(M810="","",X810-W810)</f>
        <v/>
      </c>
      <c r="Z810" s="12">
        <f>IF(M810="","",IF(M810&lt;0,N(Z809)+1,0))</f>
        <v/>
      </c>
    </row>
    <row r="811">
      <c r="H811" s="7" t="n"/>
      <c r="I811" s="7" t="n"/>
      <c r="J811" s="7" t="n"/>
      <c r="K811" s="7" t="n"/>
      <c r="M811" s="8" t="n"/>
      <c r="P811" s="9" t="n"/>
      <c r="Q811" s="10" t="n"/>
      <c r="R811" s="10" t="n"/>
      <c r="S811" s="11" t="n"/>
      <c r="U811" s="12">
        <f>IF(OR(H811="",I811=""),"",ROUND(Settings!$B$4/ABS(H811-I811),2))</f>
        <v/>
      </c>
      <c r="V811" s="13">
        <f>IF(M811="","",ROUND(M811*Settings!$B$4,2))</f>
        <v/>
      </c>
      <c r="W811" s="12">
        <f>IF(M811="","",SUM($M$2:M811))</f>
        <v/>
      </c>
      <c r="X811" s="12">
        <f>IF(M811="","",MAX(0,N(X810),W811))</f>
        <v/>
      </c>
      <c r="Y811" s="12">
        <f>IF(M811="","",X811-W811)</f>
        <v/>
      </c>
      <c r="Z811" s="12">
        <f>IF(M811="","",IF(M811&lt;0,N(Z810)+1,0))</f>
        <v/>
      </c>
    </row>
    <row r="812">
      <c r="H812" s="7" t="n"/>
      <c r="I812" s="7" t="n"/>
      <c r="J812" s="7" t="n"/>
      <c r="K812" s="7" t="n"/>
      <c r="M812" s="8" t="n"/>
      <c r="P812" s="9" t="n"/>
      <c r="Q812" s="10" t="n"/>
      <c r="R812" s="10" t="n"/>
      <c r="S812" s="11" t="n"/>
      <c r="U812" s="12">
        <f>IF(OR(H812="",I812=""),"",ROUND(Settings!$B$4/ABS(H812-I812),2))</f>
        <v/>
      </c>
      <c r="V812" s="13">
        <f>IF(M812="","",ROUND(M812*Settings!$B$4,2))</f>
        <v/>
      </c>
      <c r="W812" s="12">
        <f>IF(M812="","",SUM($M$2:M812))</f>
        <v/>
      </c>
      <c r="X812" s="12">
        <f>IF(M812="","",MAX(0,N(X811),W812))</f>
        <v/>
      </c>
      <c r="Y812" s="12">
        <f>IF(M812="","",X812-W812)</f>
        <v/>
      </c>
      <c r="Z812" s="12">
        <f>IF(M812="","",IF(M812&lt;0,N(Z811)+1,0))</f>
        <v/>
      </c>
    </row>
    <row r="813">
      <c r="H813" s="7" t="n"/>
      <c r="I813" s="7" t="n"/>
      <c r="J813" s="7" t="n"/>
      <c r="K813" s="7" t="n"/>
      <c r="M813" s="8" t="n"/>
      <c r="P813" s="9" t="n"/>
      <c r="Q813" s="10" t="n"/>
      <c r="R813" s="10" t="n"/>
      <c r="S813" s="11" t="n"/>
      <c r="U813" s="12">
        <f>IF(OR(H813="",I813=""),"",ROUND(Settings!$B$4/ABS(H813-I813),2))</f>
        <v/>
      </c>
      <c r="V813" s="13">
        <f>IF(M813="","",ROUND(M813*Settings!$B$4,2))</f>
        <v/>
      </c>
      <c r="W813" s="12">
        <f>IF(M813="","",SUM($M$2:M813))</f>
        <v/>
      </c>
      <c r="X813" s="12">
        <f>IF(M813="","",MAX(0,N(X812),W813))</f>
        <v/>
      </c>
      <c r="Y813" s="12">
        <f>IF(M813="","",X813-W813)</f>
        <v/>
      </c>
      <c r="Z813" s="12">
        <f>IF(M813="","",IF(M813&lt;0,N(Z812)+1,0))</f>
        <v/>
      </c>
    </row>
    <row r="814">
      <c r="H814" s="7" t="n"/>
      <c r="I814" s="7" t="n"/>
      <c r="J814" s="7" t="n"/>
      <c r="K814" s="7" t="n"/>
      <c r="M814" s="8" t="n"/>
      <c r="P814" s="9" t="n"/>
      <c r="Q814" s="10" t="n"/>
      <c r="R814" s="10" t="n"/>
      <c r="S814" s="11" t="n"/>
      <c r="U814" s="12">
        <f>IF(OR(H814="",I814=""),"",ROUND(Settings!$B$4/ABS(H814-I814),2))</f>
        <v/>
      </c>
      <c r="V814" s="13">
        <f>IF(M814="","",ROUND(M814*Settings!$B$4,2))</f>
        <v/>
      </c>
      <c r="W814" s="12">
        <f>IF(M814="","",SUM($M$2:M814))</f>
        <v/>
      </c>
      <c r="X814" s="12">
        <f>IF(M814="","",MAX(0,N(X813),W814))</f>
        <v/>
      </c>
      <c r="Y814" s="12">
        <f>IF(M814="","",X814-W814)</f>
        <v/>
      </c>
      <c r="Z814" s="12">
        <f>IF(M814="","",IF(M814&lt;0,N(Z813)+1,0))</f>
        <v/>
      </c>
    </row>
    <row r="815">
      <c r="H815" s="7" t="n"/>
      <c r="I815" s="7" t="n"/>
      <c r="J815" s="7" t="n"/>
      <c r="K815" s="7" t="n"/>
      <c r="M815" s="8" t="n"/>
      <c r="P815" s="9" t="n"/>
      <c r="Q815" s="10" t="n"/>
      <c r="R815" s="10" t="n"/>
      <c r="S815" s="11" t="n"/>
      <c r="U815" s="12">
        <f>IF(OR(H815="",I815=""),"",ROUND(Settings!$B$4/ABS(H815-I815),2))</f>
        <v/>
      </c>
      <c r="V815" s="13">
        <f>IF(M815="","",ROUND(M815*Settings!$B$4,2))</f>
        <v/>
      </c>
      <c r="W815" s="12">
        <f>IF(M815="","",SUM($M$2:M815))</f>
        <v/>
      </c>
      <c r="X815" s="12">
        <f>IF(M815="","",MAX(0,N(X814),W815))</f>
        <v/>
      </c>
      <c r="Y815" s="12">
        <f>IF(M815="","",X815-W815)</f>
        <v/>
      </c>
      <c r="Z815" s="12">
        <f>IF(M815="","",IF(M815&lt;0,N(Z814)+1,0))</f>
        <v/>
      </c>
    </row>
    <row r="816">
      <c r="H816" s="7" t="n"/>
      <c r="I816" s="7" t="n"/>
      <c r="J816" s="7" t="n"/>
      <c r="K816" s="7" t="n"/>
      <c r="M816" s="8" t="n"/>
      <c r="P816" s="9" t="n"/>
      <c r="Q816" s="10" t="n"/>
      <c r="R816" s="10" t="n"/>
      <c r="S816" s="11" t="n"/>
      <c r="U816" s="12">
        <f>IF(OR(H816="",I816=""),"",ROUND(Settings!$B$4/ABS(H816-I816),2))</f>
        <v/>
      </c>
      <c r="V816" s="13">
        <f>IF(M816="","",ROUND(M816*Settings!$B$4,2))</f>
        <v/>
      </c>
      <c r="W816" s="12">
        <f>IF(M816="","",SUM($M$2:M816))</f>
        <v/>
      </c>
      <c r="X816" s="12">
        <f>IF(M816="","",MAX(0,N(X815),W816))</f>
        <v/>
      </c>
      <c r="Y816" s="12">
        <f>IF(M816="","",X816-W816)</f>
        <v/>
      </c>
      <c r="Z816" s="12">
        <f>IF(M816="","",IF(M816&lt;0,N(Z815)+1,0))</f>
        <v/>
      </c>
    </row>
    <row r="817">
      <c r="H817" s="7" t="n"/>
      <c r="I817" s="7" t="n"/>
      <c r="J817" s="7" t="n"/>
      <c r="K817" s="7" t="n"/>
      <c r="M817" s="8" t="n"/>
      <c r="P817" s="9" t="n"/>
      <c r="Q817" s="10" t="n"/>
      <c r="R817" s="10" t="n"/>
      <c r="S817" s="11" t="n"/>
      <c r="U817" s="12">
        <f>IF(OR(H817="",I817=""),"",ROUND(Settings!$B$4/ABS(H817-I817),2))</f>
        <v/>
      </c>
      <c r="V817" s="13">
        <f>IF(M817="","",ROUND(M817*Settings!$B$4,2))</f>
        <v/>
      </c>
      <c r="W817" s="12">
        <f>IF(M817="","",SUM($M$2:M817))</f>
        <v/>
      </c>
      <c r="X817" s="12">
        <f>IF(M817="","",MAX(0,N(X816),W817))</f>
        <v/>
      </c>
      <c r="Y817" s="12">
        <f>IF(M817="","",X817-W817)</f>
        <v/>
      </c>
      <c r="Z817" s="12">
        <f>IF(M817="","",IF(M817&lt;0,N(Z816)+1,0))</f>
        <v/>
      </c>
    </row>
    <row r="818">
      <c r="H818" s="7" t="n"/>
      <c r="I818" s="7" t="n"/>
      <c r="J818" s="7" t="n"/>
      <c r="K818" s="7" t="n"/>
      <c r="M818" s="8" t="n"/>
      <c r="P818" s="9" t="n"/>
      <c r="Q818" s="10" t="n"/>
      <c r="R818" s="10" t="n"/>
      <c r="S818" s="11" t="n"/>
      <c r="U818" s="12">
        <f>IF(OR(H818="",I818=""),"",ROUND(Settings!$B$4/ABS(H818-I818),2))</f>
        <v/>
      </c>
      <c r="V818" s="13">
        <f>IF(M818="","",ROUND(M818*Settings!$B$4,2))</f>
        <v/>
      </c>
      <c r="W818" s="12">
        <f>IF(M818="","",SUM($M$2:M818))</f>
        <v/>
      </c>
      <c r="X818" s="12">
        <f>IF(M818="","",MAX(0,N(X817),W818))</f>
        <v/>
      </c>
      <c r="Y818" s="12">
        <f>IF(M818="","",X818-W818)</f>
        <v/>
      </c>
      <c r="Z818" s="12">
        <f>IF(M818="","",IF(M818&lt;0,N(Z817)+1,0))</f>
        <v/>
      </c>
    </row>
    <row r="819">
      <c r="H819" s="7" t="n"/>
      <c r="I819" s="7" t="n"/>
      <c r="J819" s="7" t="n"/>
      <c r="K819" s="7" t="n"/>
      <c r="M819" s="8" t="n"/>
      <c r="P819" s="9" t="n"/>
      <c r="Q819" s="10" t="n"/>
      <c r="R819" s="10" t="n"/>
      <c r="S819" s="11" t="n"/>
      <c r="U819" s="12">
        <f>IF(OR(H819="",I819=""),"",ROUND(Settings!$B$4/ABS(H819-I819),2))</f>
        <v/>
      </c>
      <c r="V819" s="13">
        <f>IF(M819="","",ROUND(M819*Settings!$B$4,2))</f>
        <v/>
      </c>
      <c r="W819" s="12">
        <f>IF(M819="","",SUM($M$2:M819))</f>
        <v/>
      </c>
      <c r="X819" s="12">
        <f>IF(M819="","",MAX(0,N(X818),W819))</f>
        <v/>
      </c>
      <c r="Y819" s="12">
        <f>IF(M819="","",X819-W819)</f>
        <v/>
      </c>
      <c r="Z819" s="12">
        <f>IF(M819="","",IF(M819&lt;0,N(Z818)+1,0))</f>
        <v/>
      </c>
    </row>
    <row r="820">
      <c r="H820" s="7" t="n"/>
      <c r="I820" s="7" t="n"/>
      <c r="J820" s="7" t="n"/>
      <c r="K820" s="7" t="n"/>
      <c r="M820" s="8" t="n"/>
      <c r="P820" s="9" t="n"/>
      <c r="Q820" s="10" t="n"/>
      <c r="R820" s="10" t="n"/>
      <c r="S820" s="11" t="n"/>
      <c r="U820" s="12">
        <f>IF(OR(H820="",I820=""),"",ROUND(Settings!$B$4/ABS(H820-I820),2))</f>
        <v/>
      </c>
      <c r="V820" s="13">
        <f>IF(M820="","",ROUND(M820*Settings!$B$4,2))</f>
        <v/>
      </c>
      <c r="W820" s="12">
        <f>IF(M820="","",SUM($M$2:M820))</f>
        <v/>
      </c>
      <c r="X820" s="12">
        <f>IF(M820="","",MAX(0,N(X819),W820))</f>
        <v/>
      </c>
      <c r="Y820" s="12">
        <f>IF(M820="","",X820-W820)</f>
        <v/>
      </c>
      <c r="Z820" s="12">
        <f>IF(M820="","",IF(M820&lt;0,N(Z819)+1,0))</f>
        <v/>
      </c>
    </row>
    <row r="821">
      <c r="H821" s="7" t="n"/>
      <c r="I821" s="7" t="n"/>
      <c r="J821" s="7" t="n"/>
      <c r="K821" s="7" t="n"/>
      <c r="M821" s="8" t="n"/>
      <c r="P821" s="9" t="n"/>
      <c r="Q821" s="10" t="n"/>
      <c r="R821" s="10" t="n"/>
      <c r="S821" s="11" t="n"/>
      <c r="U821" s="12">
        <f>IF(OR(H821="",I821=""),"",ROUND(Settings!$B$4/ABS(H821-I821),2))</f>
        <v/>
      </c>
      <c r="V821" s="13">
        <f>IF(M821="","",ROUND(M821*Settings!$B$4,2))</f>
        <v/>
      </c>
      <c r="W821" s="12">
        <f>IF(M821="","",SUM($M$2:M821))</f>
        <v/>
      </c>
      <c r="X821" s="12">
        <f>IF(M821="","",MAX(0,N(X820),W821))</f>
        <v/>
      </c>
      <c r="Y821" s="12">
        <f>IF(M821="","",X821-W821)</f>
        <v/>
      </c>
      <c r="Z821" s="12">
        <f>IF(M821="","",IF(M821&lt;0,N(Z820)+1,0))</f>
        <v/>
      </c>
    </row>
    <row r="822">
      <c r="H822" s="7" t="n"/>
      <c r="I822" s="7" t="n"/>
      <c r="J822" s="7" t="n"/>
      <c r="K822" s="7" t="n"/>
      <c r="M822" s="8" t="n"/>
      <c r="P822" s="9" t="n"/>
      <c r="Q822" s="10" t="n"/>
      <c r="R822" s="10" t="n"/>
      <c r="S822" s="11" t="n"/>
      <c r="U822" s="12">
        <f>IF(OR(H822="",I822=""),"",ROUND(Settings!$B$4/ABS(H822-I822),2))</f>
        <v/>
      </c>
      <c r="V822" s="13">
        <f>IF(M822="","",ROUND(M822*Settings!$B$4,2))</f>
        <v/>
      </c>
      <c r="W822" s="12">
        <f>IF(M822="","",SUM($M$2:M822))</f>
        <v/>
      </c>
      <c r="X822" s="12">
        <f>IF(M822="","",MAX(0,N(X821),W822))</f>
        <v/>
      </c>
      <c r="Y822" s="12">
        <f>IF(M822="","",X822-W822)</f>
        <v/>
      </c>
      <c r="Z822" s="12">
        <f>IF(M822="","",IF(M822&lt;0,N(Z821)+1,0))</f>
        <v/>
      </c>
    </row>
    <row r="823">
      <c r="H823" s="7" t="n"/>
      <c r="I823" s="7" t="n"/>
      <c r="J823" s="7" t="n"/>
      <c r="K823" s="7" t="n"/>
      <c r="M823" s="8" t="n"/>
      <c r="P823" s="9" t="n"/>
      <c r="Q823" s="10" t="n"/>
      <c r="R823" s="10" t="n"/>
      <c r="S823" s="11" t="n"/>
      <c r="U823" s="12">
        <f>IF(OR(H823="",I823=""),"",ROUND(Settings!$B$4/ABS(H823-I823),2))</f>
        <v/>
      </c>
      <c r="V823" s="13">
        <f>IF(M823="","",ROUND(M823*Settings!$B$4,2))</f>
        <v/>
      </c>
      <c r="W823" s="12">
        <f>IF(M823="","",SUM($M$2:M823))</f>
        <v/>
      </c>
      <c r="X823" s="12">
        <f>IF(M823="","",MAX(0,N(X822),W823))</f>
        <v/>
      </c>
      <c r="Y823" s="12">
        <f>IF(M823="","",X823-W823)</f>
        <v/>
      </c>
      <c r="Z823" s="12">
        <f>IF(M823="","",IF(M823&lt;0,N(Z822)+1,0))</f>
        <v/>
      </c>
    </row>
    <row r="824">
      <c r="H824" s="7" t="n"/>
      <c r="I824" s="7" t="n"/>
      <c r="J824" s="7" t="n"/>
      <c r="K824" s="7" t="n"/>
      <c r="M824" s="8" t="n"/>
      <c r="P824" s="9" t="n"/>
      <c r="Q824" s="10" t="n"/>
      <c r="R824" s="10" t="n"/>
      <c r="S824" s="11" t="n"/>
      <c r="U824" s="12">
        <f>IF(OR(H824="",I824=""),"",ROUND(Settings!$B$4/ABS(H824-I824),2))</f>
        <v/>
      </c>
      <c r="V824" s="13">
        <f>IF(M824="","",ROUND(M824*Settings!$B$4,2))</f>
        <v/>
      </c>
      <c r="W824" s="12">
        <f>IF(M824="","",SUM($M$2:M824))</f>
        <v/>
      </c>
      <c r="X824" s="12">
        <f>IF(M824="","",MAX(0,N(X823),W824))</f>
        <v/>
      </c>
      <c r="Y824" s="12">
        <f>IF(M824="","",X824-W824)</f>
        <v/>
      </c>
      <c r="Z824" s="12">
        <f>IF(M824="","",IF(M824&lt;0,N(Z823)+1,0))</f>
        <v/>
      </c>
    </row>
    <row r="825">
      <c r="H825" s="7" t="n"/>
      <c r="I825" s="7" t="n"/>
      <c r="J825" s="7" t="n"/>
      <c r="K825" s="7" t="n"/>
      <c r="M825" s="8" t="n"/>
      <c r="P825" s="9" t="n"/>
      <c r="Q825" s="10" t="n"/>
      <c r="R825" s="10" t="n"/>
      <c r="S825" s="11" t="n"/>
      <c r="U825" s="12">
        <f>IF(OR(H825="",I825=""),"",ROUND(Settings!$B$4/ABS(H825-I825),2))</f>
        <v/>
      </c>
      <c r="V825" s="13">
        <f>IF(M825="","",ROUND(M825*Settings!$B$4,2))</f>
        <v/>
      </c>
      <c r="W825" s="12">
        <f>IF(M825="","",SUM($M$2:M825))</f>
        <v/>
      </c>
      <c r="X825" s="12">
        <f>IF(M825="","",MAX(0,N(X824),W825))</f>
        <v/>
      </c>
      <c r="Y825" s="12">
        <f>IF(M825="","",X825-W825)</f>
        <v/>
      </c>
      <c r="Z825" s="12">
        <f>IF(M825="","",IF(M825&lt;0,N(Z824)+1,0))</f>
        <v/>
      </c>
    </row>
    <row r="826">
      <c r="H826" s="7" t="n"/>
      <c r="I826" s="7" t="n"/>
      <c r="J826" s="7" t="n"/>
      <c r="K826" s="7" t="n"/>
      <c r="M826" s="8" t="n"/>
      <c r="P826" s="9" t="n"/>
      <c r="Q826" s="10" t="n"/>
      <c r="R826" s="10" t="n"/>
      <c r="S826" s="11" t="n"/>
      <c r="U826" s="12">
        <f>IF(OR(H826="",I826=""),"",ROUND(Settings!$B$4/ABS(H826-I826),2))</f>
        <v/>
      </c>
      <c r="V826" s="13">
        <f>IF(M826="","",ROUND(M826*Settings!$B$4,2))</f>
        <v/>
      </c>
      <c r="W826" s="12">
        <f>IF(M826="","",SUM($M$2:M826))</f>
        <v/>
      </c>
      <c r="X826" s="12">
        <f>IF(M826="","",MAX(0,N(X825),W826))</f>
        <v/>
      </c>
      <c r="Y826" s="12">
        <f>IF(M826="","",X826-W826)</f>
        <v/>
      </c>
      <c r="Z826" s="12">
        <f>IF(M826="","",IF(M826&lt;0,N(Z825)+1,0))</f>
        <v/>
      </c>
    </row>
    <row r="827">
      <c r="H827" s="7" t="n"/>
      <c r="I827" s="7" t="n"/>
      <c r="J827" s="7" t="n"/>
      <c r="K827" s="7" t="n"/>
      <c r="M827" s="8" t="n"/>
      <c r="P827" s="9" t="n"/>
      <c r="Q827" s="10" t="n"/>
      <c r="R827" s="10" t="n"/>
      <c r="S827" s="11" t="n"/>
      <c r="U827" s="12">
        <f>IF(OR(H827="",I827=""),"",ROUND(Settings!$B$4/ABS(H827-I827),2))</f>
        <v/>
      </c>
      <c r="V827" s="13">
        <f>IF(M827="","",ROUND(M827*Settings!$B$4,2))</f>
        <v/>
      </c>
      <c r="W827" s="12">
        <f>IF(M827="","",SUM($M$2:M827))</f>
        <v/>
      </c>
      <c r="X827" s="12">
        <f>IF(M827="","",MAX(0,N(X826),W827))</f>
        <v/>
      </c>
      <c r="Y827" s="12">
        <f>IF(M827="","",X827-W827)</f>
        <v/>
      </c>
      <c r="Z827" s="12">
        <f>IF(M827="","",IF(M827&lt;0,N(Z826)+1,0))</f>
        <v/>
      </c>
    </row>
    <row r="828">
      <c r="H828" s="7" t="n"/>
      <c r="I828" s="7" t="n"/>
      <c r="J828" s="7" t="n"/>
      <c r="K828" s="7" t="n"/>
      <c r="M828" s="8" t="n"/>
      <c r="P828" s="9" t="n"/>
      <c r="Q828" s="10" t="n"/>
      <c r="R828" s="10" t="n"/>
      <c r="S828" s="11" t="n"/>
      <c r="U828" s="12">
        <f>IF(OR(H828="",I828=""),"",ROUND(Settings!$B$4/ABS(H828-I828),2))</f>
        <v/>
      </c>
      <c r="V828" s="13">
        <f>IF(M828="","",ROUND(M828*Settings!$B$4,2))</f>
        <v/>
      </c>
      <c r="W828" s="12">
        <f>IF(M828="","",SUM($M$2:M828))</f>
        <v/>
      </c>
      <c r="X828" s="12">
        <f>IF(M828="","",MAX(0,N(X827),W828))</f>
        <v/>
      </c>
      <c r="Y828" s="12">
        <f>IF(M828="","",X828-W828)</f>
        <v/>
      </c>
      <c r="Z828" s="12">
        <f>IF(M828="","",IF(M828&lt;0,N(Z827)+1,0))</f>
        <v/>
      </c>
    </row>
    <row r="829">
      <c r="H829" s="7" t="n"/>
      <c r="I829" s="7" t="n"/>
      <c r="J829" s="7" t="n"/>
      <c r="K829" s="7" t="n"/>
      <c r="M829" s="8" t="n"/>
      <c r="P829" s="9" t="n"/>
      <c r="Q829" s="10" t="n"/>
      <c r="R829" s="10" t="n"/>
      <c r="S829" s="11" t="n"/>
      <c r="U829" s="12">
        <f>IF(OR(H829="",I829=""),"",ROUND(Settings!$B$4/ABS(H829-I829),2))</f>
        <v/>
      </c>
      <c r="V829" s="13">
        <f>IF(M829="","",ROUND(M829*Settings!$B$4,2))</f>
        <v/>
      </c>
      <c r="W829" s="12">
        <f>IF(M829="","",SUM($M$2:M829))</f>
        <v/>
      </c>
      <c r="X829" s="12">
        <f>IF(M829="","",MAX(0,N(X828),W829))</f>
        <v/>
      </c>
      <c r="Y829" s="12">
        <f>IF(M829="","",X829-W829)</f>
        <v/>
      </c>
      <c r="Z829" s="12">
        <f>IF(M829="","",IF(M829&lt;0,N(Z828)+1,0))</f>
        <v/>
      </c>
    </row>
    <row r="830">
      <c r="H830" s="7" t="n"/>
      <c r="I830" s="7" t="n"/>
      <c r="J830" s="7" t="n"/>
      <c r="K830" s="7" t="n"/>
      <c r="M830" s="8" t="n"/>
      <c r="P830" s="9" t="n"/>
      <c r="Q830" s="10" t="n"/>
      <c r="R830" s="10" t="n"/>
      <c r="S830" s="11" t="n"/>
      <c r="U830" s="12">
        <f>IF(OR(H830="",I830=""),"",ROUND(Settings!$B$4/ABS(H830-I830),2))</f>
        <v/>
      </c>
      <c r="V830" s="13">
        <f>IF(M830="","",ROUND(M830*Settings!$B$4,2))</f>
        <v/>
      </c>
      <c r="W830" s="12">
        <f>IF(M830="","",SUM($M$2:M830))</f>
        <v/>
      </c>
      <c r="X830" s="12">
        <f>IF(M830="","",MAX(0,N(X829),W830))</f>
        <v/>
      </c>
      <c r="Y830" s="12">
        <f>IF(M830="","",X830-W830)</f>
        <v/>
      </c>
      <c r="Z830" s="12">
        <f>IF(M830="","",IF(M830&lt;0,N(Z829)+1,0))</f>
        <v/>
      </c>
    </row>
    <row r="831">
      <c r="H831" s="7" t="n"/>
      <c r="I831" s="7" t="n"/>
      <c r="J831" s="7" t="n"/>
      <c r="K831" s="7" t="n"/>
      <c r="M831" s="8" t="n"/>
      <c r="P831" s="9" t="n"/>
      <c r="Q831" s="10" t="n"/>
      <c r="R831" s="10" t="n"/>
      <c r="S831" s="11" t="n"/>
      <c r="U831" s="12">
        <f>IF(OR(H831="",I831=""),"",ROUND(Settings!$B$4/ABS(H831-I831),2))</f>
        <v/>
      </c>
      <c r="V831" s="13">
        <f>IF(M831="","",ROUND(M831*Settings!$B$4,2))</f>
        <v/>
      </c>
      <c r="W831" s="12">
        <f>IF(M831="","",SUM($M$2:M831))</f>
        <v/>
      </c>
      <c r="X831" s="12">
        <f>IF(M831="","",MAX(0,N(X830),W831))</f>
        <v/>
      </c>
      <c r="Y831" s="12">
        <f>IF(M831="","",X831-W831)</f>
        <v/>
      </c>
      <c r="Z831" s="12">
        <f>IF(M831="","",IF(M831&lt;0,N(Z830)+1,0))</f>
        <v/>
      </c>
    </row>
    <row r="832">
      <c r="H832" s="7" t="n"/>
      <c r="I832" s="7" t="n"/>
      <c r="J832" s="7" t="n"/>
      <c r="K832" s="7" t="n"/>
      <c r="M832" s="8" t="n"/>
      <c r="P832" s="9" t="n"/>
      <c r="Q832" s="10" t="n"/>
      <c r="R832" s="10" t="n"/>
      <c r="S832" s="11" t="n"/>
      <c r="U832" s="12">
        <f>IF(OR(H832="",I832=""),"",ROUND(Settings!$B$4/ABS(H832-I832),2))</f>
        <v/>
      </c>
      <c r="V832" s="13">
        <f>IF(M832="","",ROUND(M832*Settings!$B$4,2))</f>
        <v/>
      </c>
      <c r="W832" s="12">
        <f>IF(M832="","",SUM($M$2:M832))</f>
        <v/>
      </c>
      <c r="X832" s="12">
        <f>IF(M832="","",MAX(0,N(X831),W832))</f>
        <v/>
      </c>
      <c r="Y832" s="12">
        <f>IF(M832="","",X832-W832)</f>
        <v/>
      </c>
      <c r="Z832" s="12">
        <f>IF(M832="","",IF(M832&lt;0,N(Z831)+1,0))</f>
        <v/>
      </c>
    </row>
    <row r="833">
      <c r="H833" s="7" t="n"/>
      <c r="I833" s="7" t="n"/>
      <c r="J833" s="7" t="n"/>
      <c r="K833" s="7" t="n"/>
      <c r="M833" s="8" t="n"/>
      <c r="P833" s="9" t="n"/>
      <c r="Q833" s="10" t="n"/>
      <c r="R833" s="10" t="n"/>
      <c r="S833" s="11" t="n"/>
      <c r="U833" s="12">
        <f>IF(OR(H833="",I833=""),"",ROUND(Settings!$B$4/ABS(H833-I833),2))</f>
        <v/>
      </c>
      <c r="V833" s="13">
        <f>IF(M833="","",ROUND(M833*Settings!$B$4,2))</f>
        <v/>
      </c>
      <c r="W833" s="12">
        <f>IF(M833="","",SUM($M$2:M833))</f>
        <v/>
      </c>
      <c r="X833" s="12">
        <f>IF(M833="","",MAX(0,N(X832),W833))</f>
        <v/>
      </c>
      <c r="Y833" s="12">
        <f>IF(M833="","",X833-W833)</f>
        <v/>
      </c>
      <c r="Z833" s="12">
        <f>IF(M833="","",IF(M833&lt;0,N(Z832)+1,0))</f>
        <v/>
      </c>
    </row>
    <row r="834">
      <c r="H834" s="7" t="n"/>
      <c r="I834" s="7" t="n"/>
      <c r="J834" s="7" t="n"/>
      <c r="K834" s="7" t="n"/>
      <c r="M834" s="8" t="n"/>
      <c r="P834" s="9" t="n"/>
      <c r="Q834" s="10" t="n"/>
      <c r="R834" s="10" t="n"/>
      <c r="S834" s="11" t="n"/>
      <c r="U834" s="12">
        <f>IF(OR(H834="",I834=""),"",ROUND(Settings!$B$4/ABS(H834-I834),2))</f>
        <v/>
      </c>
      <c r="V834" s="13">
        <f>IF(M834="","",ROUND(M834*Settings!$B$4,2))</f>
        <v/>
      </c>
      <c r="W834" s="12">
        <f>IF(M834="","",SUM($M$2:M834))</f>
        <v/>
      </c>
      <c r="X834" s="12">
        <f>IF(M834="","",MAX(0,N(X833),W834))</f>
        <v/>
      </c>
      <c r="Y834" s="12">
        <f>IF(M834="","",X834-W834)</f>
        <v/>
      </c>
      <c r="Z834" s="12">
        <f>IF(M834="","",IF(M834&lt;0,N(Z833)+1,0))</f>
        <v/>
      </c>
    </row>
    <row r="835">
      <c r="H835" s="7" t="n"/>
      <c r="I835" s="7" t="n"/>
      <c r="J835" s="7" t="n"/>
      <c r="K835" s="7" t="n"/>
      <c r="M835" s="8" t="n"/>
      <c r="P835" s="9" t="n"/>
      <c r="Q835" s="10" t="n"/>
      <c r="R835" s="10" t="n"/>
      <c r="S835" s="11" t="n"/>
      <c r="U835" s="12">
        <f>IF(OR(H835="",I835=""),"",ROUND(Settings!$B$4/ABS(H835-I835),2))</f>
        <v/>
      </c>
      <c r="V835" s="13">
        <f>IF(M835="","",ROUND(M835*Settings!$B$4,2))</f>
        <v/>
      </c>
      <c r="W835" s="12">
        <f>IF(M835="","",SUM($M$2:M835))</f>
        <v/>
      </c>
      <c r="X835" s="12">
        <f>IF(M835="","",MAX(0,N(X834),W835))</f>
        <v/>
      </c>
      <c r="Y835" s="12">
        <f>IF(M835="","",X835-W835)</f>
        <v/>
      </c>
      <c r="Z835" s="12">
        <f>IF(M835="","",IF(M835&lt;0,N(Z834)+1,0))</f>
        <v/>
      </c>
    </row>
    <row r="836">
      <c r="H836" s="7" t="n"/>
      <c r="I836" s="7" t="n"/>
      <c r="J836" s="7" t="n"/>
      <c r="K836" s="7" t="n"/>
      <c r="M836" s="8" t="n"/>
      <c r="P836" s="9" t="n"/>
      <c r="Q836" s="10" t="n"/>
      <c r="R836" s="10" t="n"/>
      <c r="S836" s="11" t="n"/>
      <c r="U836" s="12">
        <f>IF(OR(H836="",I836=""),"",ROUND(Settings!$B$4/ABS(H836-I836),2))</f>
        <v/>
      </c>
      <c r="V836" s="13">
        <f>IF(M836="","",ROUND(M836*Settings!$B$4,2))</f>
        <v/>
      </c>
      <c r="W836" s="12">
        <f>IF(M836="","",SUM($M$2:M836))</f>
        <v/>
      </c>
      <c r="X836" s="12">
        <f>IF(M836="","",MAX(0,N(X835),W836))</f>
        <v/>
      </c>
      <c r="Y836" s="12">
        <f>IF(M836="","",X836-W836)</f>
        <v/>
      </c>
      <c r="Z836" s="12">
        <f>IF(M836="","",IF(M836&lt;0,N(Z835)+1,0))</f>
        <v/>
      </c>
    </row>
    <row r="837">
      <c r="H837" s="7" t="n"/>
      <c r="I837" s="7" t="n"/>
      <c r="J837" s="7" t="n"/>
      <c r="K837" s="7" t="n"/>
      <c r="M837" s="8" t="n"/>
      <c r="P837" s="9" t="n"/>
      <c r="Q837" s="10" t="n"/>
      <c r="R837" s="10" t="n"/>
      <c r="S837" s="11" t="n"/>
      <c r="U837" s="12">
        <f>IF(OR(H837="",I837=""),"",ROUND(Settings!$B$4/ABS(H837-I837),2))</f>
        <v/>
      </c>
      <c r="V837" s="13">
        <f>IF(M837="","",ROUND(M837*Settings!$B$4,2))</f>
        <v/>
      </c>
      <c r="W837" s="12">
        <f>IF(M837="","",SUM($M$2:M837))</f>
        <v/>
      </c>
      <c r="X837" s="12">
        <f>IF(M837="","",MAX(0,N(X836),W837))</f>
        <v/>
      </c>
      <c r="Y837" s="12">
        <f>IF(M837="","",X837-W837)</f>
        <v/>
      </c>
      <c r="Z837" s="12">
        <f>IF(M837="","",IF(M837&lt;0,N(Z836)+1,0))</f>
        <v/>
      </c>
    </row>
    <row r="838">
      <c r="H838" s="7" t="n"/>
      <c r="I838" s="7" t="n"/>
      <c r="J838" s="7" t="n"/>
      <c r="K838" s="7" t="n"/>
      <c r="M838" s="8" t="n"/>
      <c r="P838" s="9" t="n"/>
      <c r="Q838" s="10" t="n"/>
      <c r="R838" s="10" t="n"/>
      <c r="S838" s="11" t="n"/>
      <c r="U838" s="12">
        <f>IF(OR(H838="",I838=""),"",ROUND(Settings!$B$4/ABS(H838-I838),2))</f>
        <v/>
      </c>
      <c r="V838" s="13">
        <f>IF(M838="","",ROUND(M838*Settings!$B$4,2))</f>
        <v/>
      </c>
      <c r="W838" s="12">
        <f>IF(M838="","",SUM($M$2:M838))</f>
        <v/>
      </c>
      <c r="X838" s="12">
        <f>IF(M838="","",MAX(0,N(X837),W838))</f>
        <v/>
      </c>
      <c r="Y838" s="12">
        <f>IF(M838="","",X838-W838)</f>
        <v/>
      </c>
      <c r="Z838" s="12">
        <f>IF(M838="","",IF(M838&lt;0,N(Z837)+1,0))</f>
        <v/>
      </c>
    </row>
    <row r="839">
      <c r="H839" s="7" t="n"/>
      <c r="I839" s="7" t="n"/>
      <c r="J839" s="7" t="n"/>
      <c r="K839" s="7" t="n"/>
      <c r="M839" s="8" t="n"/>
      <c r="P839" s="9" t="n"/>
      <c r="Q839" s="10" t="n"/>
      <c r="R839" s="10" t="n"/>
      <c r="S839" s="11" t="n"/>
      <c r="U839" s="12">
        <f>IF(OR(H839="",I839=""),"",ROUND(Settings!$B$4/ABS(H839-I839),2))</f>
        <v/>
      </c>
      <c r="V839" s="13">
        <f>IF(M839="","",ROUND(M839*Settings!$B$4,2))</f>
        <v/>
      </c>
      <c r="W839" s="12">
        <f>IF(M839="","",SUM($M$2:M839))</f>
        <v/>
      </c>
      <c r="X839" s="12">
        <f>IF(M839="","",MAX(0,N(X838),W839))</f>
        <v/>
      </c>
      <c r="Y839" s="12">
        <f>IF(M839="","",X839-W839)</f>
        <v/>
      </c>
      <c r="Z839" s="12">
        <f>IF(M839="","",IF(M839&lt;0,N(Z838)+1,0))</f>
        <v/>
      </c>
    </row>
    <row r="840">
      <c r="H840" s="7" t="n"/>
      <c r="I840" s="7" t="n"/>
      <c r="J840" s="7" t="n"/>
      <c r="K840" s="7" t="n"/>
      <c r="M840" s="8" t="n"/>
      <c r="P840" s="9" t="n"/>
      <c r="Q840" s="10" t="n"/>
      <c r="R840" s="10" t="n"/>
      <c r="S840" s="11" t="n"/>
      <c r="U840" s="12">
        <f>IF(OR(H840="",I840=""),"",ROUND(Settings!$B$4/ABS(H840-I840),2))</f>
        <v/>
      </c>
      <c r="V840" s="13">
        <f>IF(M840="","",ROUND(M840*Settings!$B$4,2))</f>
        <v/>
      </c>
      <c r="W840" s="12">
        <f>IF(M840="","",SUM($M$2:M840))</f>
        <v/>
      </c>
      <c r="X840" s="12">
        <f>IF(M840="","",MAX(0,N(X839),W840))</f>
        <v/>
      </c>
      <c r="Y840" s="12">
        <f>IF(M840="","",X840-W840)</f>
        <v/>
      </c>
      <c r="Z840" s="12">
        <f>IF(M840="","",IF(M840&lt;0,N(Z839)+1,0))</f>
        <v/>
      </c>
    </row>
    <row r="841">
      <c r="H841" s="7" t="n"/>
      <c r="I841" s="7" t="n"/>
      <c r="J841" s="7" t="n"/>
      <c r="K841" s="7" t="n"/>
      <c r="M841" s="8" t="n"/>
      <c r="P841" s="9" t="n"/>
      <c r="Q841" s="10" t="n"/>
      <c r="R841" s="10" t="n"/>
      <c r="S841" s="11" t="n"/>
      <c r="U841" s="12">
        <f>IF(OR(H841="",I841=""),"",ROUND(Settings!$B$4/ABS(H841-I841),2))</f>
        <v/>
      </c>
      <c r="V841" s="13">
        <f>IF(M841="","",ROUND(M841*Settings!$B$4,2))</f>
        <v/>
      </c>
      <c r="W841" s="12">
        <f>IF(M841="","",SUM($M$2:M841))</f>
        <v/>
      </c>
      <c r="X841" s="12">
        <f>IF(M841="","",MAX(0,N(X840),W841))</f>
        <v/>
      </c>
      <c r="Y841" s="12">
        <f>IF(M841="","",X841-W841)</f>
        <v/>
      </c>
      <c r="Z841" s="12">
        <f>IF(M841="","",IF(M841&lt;0,N(Z840)+1,0))</f>
        <v/>
      </c>
    </row>
    <row r="842">
      <c r="H842" s="7" t="n"/>
      <c r="I842" s="7" t="n"/>
      <c r="J842" s="7" t="n"/>
      <c r="K842" s="7" t="n"/>
      <c r="M842" s="8" t="n"/>
      <c r="P842" s="9" t="n"/>
      <c r="Q842" s="10" t="n"/>
      <c r="R842" s="10" t="n"/>
      <c r="S842" s="11" t="n"/>
      <c r="U842" s="12">
        <f>IF(OR(H842="",I842=""),"",ROUND(Settings!$B$4/ABS(H842-I842),2))</f>
        <v/>
      </c>
      <c r="V842" s="13">
        <f>IF(M842="","",ROUND(M842*Settings!$B$4,2))</f>
        <v/>
      </c>
      <c r="W842" s="12">
        <f>IF(M842="","",SUM($M$2:M842))</f>
        <v/>
      </c>
      <c r="X842" s="12">
        <f>IF(M842="","",MAX(0,N(X841),W842))</f>
        <v/>
      </c>
      <c r="Y842" s="12">
        <f>IF(M842="","",X842-W842)</f>
        <v/>
      </c>
      <c r="Z842" s="12">
        <f>IF(M842="","",IF(M842&lt;0,N(Z841)+1,0))</f>
        <v/>
      </c>
    </row>
    <row r="843">
      <c r="H843" s="7" t="n"/>
      <c r="I843" s="7" t="n"/>
      <c r="J843" s="7" t="n"/>
      <c r="K843" s="7" t="n"/>
      <c r="M843" s="8" t="n"/>
      <c r="P843" s="9" t="n"/>
      <c r="Q843" s="10" t="n"/>
      <c r="R843" s="10" t="n"/>
      <c r="S843" s="11" t="n"/>
      <c r="U843" s="12">
        <f>IF(OR(H843="",I843=""),"",ROUND(Settings!$B$4/ABS(H843-I843),2))</f>
        <v/>
      </c>
      <c r="V843" s="13">
        <f>IF(M843="","",ROUND(M843*Settings!$B$4,2))</f>
        <v/>
      </c>
      <c r="W843" s="12">
        <f>IF(M843="","",SUM($M$2:M843))</f>
        <v/>
      </c>
      <c r="X843" s="12">
        <f>IF(M843="","",MAX(0,N(X842),W843))</f>
        <v/>
      </c>
      <c r="Y843" s="12">
        <f>IF(M843="","",X843-W843)</f>
        <v/>
      </c>
      <c r="Z843" s="12">
        <f>IF(M843="","",IF(M843&lt;0,N(Z842)+1,0))</f>
        <v/>
      </c>
    </row>
    <row r="844">
      <c r="H844" s="7" t="n"/>
      <c r="I844" s="7" t="n"/>
      <c r="J844" s="7" t="n"/>
      <c r="K844" s="7" t="n"/>
      <c r="M844" s="8" t="n"/>
      <c r="P844" s="9" t="n"/>
      <c r="Q844" s="10" t="n"/>
      <c r="R844" s="10" t="n"/>
      <c r="S844" s="11" t="n"/>
      <c r="U844" s="12">
        <f>IF(OR(H844="",I844=""),"",ROUND(Settings!$B$4/ABS(H844-I844),2))</f>
        <v/>
      </c>
      <c r="V844" s="13">
        <f>IF(M844="","",ROUND(M844*Settings!$B$4,2))</f>
        <v/>
      </c>
      <c r="W844" s="12">
        <f>IF(M844="","",SUM($M$2:M844))</f>
        <v/>
      </c>
      <c r="X844" s="12">
        <f>IF(M844="","",MAX(0,N(X843),W844))</f>
        <v/>
      </c>
      <c r="Y844" s="12">
        <f>IF(M844="","",X844-W844)</f>
        <v/>
      </c>
      <c r="Z844" s="12">
        <f>IF(M844="","",IF(M844&lt;0,N(Z843)+1,0))</f>
        <v/>
      </c>
    </row>
    <row r="845">
      <c r="H845" s="7" t="n"/>
      <c r="I845" s="7" t="n"/>
      <c r="J845" s="7" t="n"/>
      <c r="K845" s="7" t="n"/>
      <c r="M845" s="8" t="n"/>
      <c r="P845" s="9" t="n"/>
      <c r="Q845" s="10" t="n"/>
      <c r="R845" s="10" t="n"/>
      <c r="S845" s="11" t="n"/>
      <c r="U845" s="12">
        <f>IF(OR(H845="",I845=""),"",ROUND(Settings!$B$4/ABS(H845-I845),2))</f>
        <v/>
      </c>
      <c r="V845" s="13">
        <f>IF(M845="","",ROUND(M845*Settings!$B$4,2))</f>
        <v/>
      </c>
      <c r="W845" s="12">
        <f>IF(M845="","",SUM($M$2:M845))</f>
        <v/>
      </c>
      <c r="X845" s="12">
        <f>IF(M845="","",MAX(0,N(X844),W845))</f>
        <v/>
      </c>
      <c r="Y845" s="12">
        <f>IF(M845="","",X845-W845)</f>
        <v/>
      </c>
      <c r="Z845" s="12">
        <f>IF(M845="","",IF(M845&lt;0,N(Z844)+1,0))</f>
        <v/>
      </c>
    </row>
    <row r="846">
      <c r="H846" s="7" t="n"/>
      <c r="I846" s="7" t="n"/>
      <c r="J846" s="7" t="n"/>
      <c r="K846" s="7" t="n"/>
      <c r="M846" s="8" t="n"/>
      <c r="P846" s="9" t="n"/>
      <c r="Q846" s="10" t="n"/>
      <c r="R846" s="10" t="n"/>
      <c r="S846" s="11" t="n"/>
      <c r="U846" s="12">
        <f>IF(OR(H846="",I846=""),"",ROUND(Settings!$B$4/ABS(H846-I846),2))</f>
        <v/>
      </c>
      <c r="V846" s="13">
        <f>IF(M846="","",ROUND(M846*Settings!$B$4,2))</f>
        <v/>
      </c>
      <c r="W846" s="12">
        <f>IF(M846="","",SUM($M$2:M846))</f>
        <v/>
      </c>
      <c r="X846" s="12">
        <f>IF(M846="","",MAX(0,N(X845),W846))</f>
        <v/>
      </c>
      <c r="Y846" s="12">
        <f>IF(M846="","",X846-W846)</f>
        <v/>
      </c>
      <c r="Z846" s="12">
        <f>IF(M846="","",IF(M846&lt;0,N(Z845)+1,0))</f>
        <v/>
      </c>
    </row>
    <row r="847">
      <c r="H847" s="7" t="n"/>
      <c r="I847" s="7" t="n"/>
      <c r="J847" s="7" t="n"/>
      <c r="K847" s="7" t="n"/>
      <c r="M847" s="8" t="n"/>
      <c r="P847" s="9" t="n"/>
      <c r="Q847" s="10" t="n"/>
      <c r="R847" s="10" t="n"/>
      <c r="S847" s="11" t="n"/>
      <c r="U847" s="12">
        <f>IF(OR(H847="",I847=""),"",ROUND(Settings!$B$4/ABS(H847-I847),2))</f>
        <v/>
      </c>
      <c r="V847" s="13">
        <f>IF(M847="","",ROUND(M847*Settings!$B$4,2))</f>
        <v/>
      </c>
      <c r="W847" s="12">
        <f>IF(M847="","",SUM($M$2:M847))</f>
        <v/>
      </c>
      <c r="X847" s="12">
        <f>IF(M847="","",MAX(0,N(X846),W847))</f>
        <v/>
      </c>
      <c r="Y847" s="12">
        <f>IF(M847="","",X847-W847)</f>
        <v/>
      </c>
      <c r="Z847" s="12">
        <f>IF(M847="","",IF(M847&lt;0,N(Z846)+1,0))</f>
        <v/>
      </c>
    </row>
    <row r="848">
      <c r="H848" s="7" t="n"/>
      <c r="I848" s="7" t="n"/>
      <c r="J848" s="7" t="n"/>
      <c r="K848" s="7" t="n"/>
      <c r="M848" s="8" t="n"/>
      <c r="P848" s="9" t="n"/>
      <c r="Q848" s="10" t="n"/>
      <c r="R848" s="10" t="n"/>
      <c r="S848" s="11" t="n"/>
      <c r="U848" s="12">
        <f>IF(OR(H848="",I848=""),"",ROUND(Settings!$B$4/ABS(H848-I848),2))</f>
        <v/>
      </c>
      <c r="V848" s="13">
        <f>IF(M848="","",ROUND(M848*Settings!$B$4,2))</f>
        <v/>
      </c>
      <c r="W848" s="12">
        <f>IF(M848="","",SUM($M$2:M848))</f>
        <v/>
      </c>
      <c r="X848" s="12">
        <f>IF(M848="","",MAX(0,N(X847),W848))</f>
        <v/>
      </c>
      <c r="Y848" s="12">
        <f>IF(M848="","",X848-W848)</f>
        <v/>
      </c>
      <c r="Z848" s="12">
        <f>IF(M848="","",IF(M848&lt;0,N(Z847)+1,0))</f>
        <v/>
      </c>
    </row>
    <row r="849">
      <c r="H849" s="7" t="n"/>
      <c r="I849" s="7" t="n"/>
      <c r="J849" s="7" t="n"/>
      <c r="K849" s="7" t="n"/>
      <c r="M849" s="8" t="n"/>
      <c r="P849" s="9" t="n"/>
      <c r="Q849" s="10" t="n"/>
      <c r="R849" s="10" t="n"/>
      <c r="S849" s="11" t="n"/>
      <c r="U849" s="12">
        <f>IF(OR(H849="",I849=""),"",ROUND(Settings!$B$4/ABS(H849-I849),2))</f>
        <v/>
      </c>
      <c r="V849" s="13">
        <f>IF(M849="","",ROUND(M849*Settings!$B$4,2))</f>
        <v/>
      </c>
      <c r="W849" s="12">
        <f>IF(M849="","",SUM($M$2:M849))</f>
        <v/>
      </c>
      <c r="X849" s="12">
        <f>IF(M849="","",MAX(0,N(X848),W849))</f>
        <v/>
      </c>
      <c r="Y849" s="12">
        <f>IF(M849="","",X849-W849)</f>
        <v/>
      </c>
      <c r="Z849" s="12">
        <f>IF(M849="","",IF(M849&lt;0,N(Z848)+1,0))</f>
        <v/>
      </c>
    </row>
    <row r="850">
      <c r="H850" s="7" t="n"/>
      <c r="I850" s="7" t="n"/>
      <c r="J850" s="7" t="n"/>
      <c r="K850" s="7" t="n"/>
      <c r="M850" s="8" t="n"/>
      <c r="P850" s="9" t="n"/>
      <c r="Q850" s="10" t="n"/>
      <c r="R850" s="10" t="n"/>
      <c r="S850" s="11" t="n"/>
      <c r="U850" s="12">
        <f>IF(OR(H850="",I850=""),"",ROUND(Settings!$B$4/ABS(H850-I850),2))</f>
        <v/>
      </c>
      <c r="V850" s="13">
        <f>IF(M850="","",ROUND(M850*Settings!$B$4,2))</f>
        <v/>
      </c>
      <c r="W850" s="12">
        <f>IF(M850="","",SUM($M$2:M850))</f>
        <v/>
      </c>
      <c r="X850" s="12">
        <f>IF(M850="","",MAX(0,N(X849),W850))</f>
        <v/>
      </c>
      <c r="Y850" s="12">
        <f>IF(M850="","",X850-W850)</f>
        <v/>
      </c>
      <c r="Z850" s="12">
        <f>IF(M850="","",IF(M850&lt;0,N(Z849)+1,0))</f>
        <v/>
      </c>
    </row>
    <row r="851">
      <c r="H851" s="7" t="n"/>
      <c r="I851" s="7" t="n"/>
      <c r="J851" s="7" t="n"/>
      <c r="K851" s="7" t="n"/>
      <c r="M851" s="8" t="n"/>
      <c r="P851" s="9" t="n"/>
      <c r="Q851" s="10" t="n"/>
      <c r="R851" s="10" t="n"/>
      <c r="S851" s="11" t="n"/>
      <c r="U851" s="12">
        <f>IF(OR(H851="",I851=""),"",ROUND(Settings!$B$4/ABS(H851-I851),2))</f>
        <v/>
      </c>
      <c r="V851" s="13">
        <f>IF(M851="","",ROUND(M851*Settings!$B$4,2))</f>
        <v/>
      </c>
      <c r="W851" s="12">
        <f>IF(M851="","",SUM($M$2:M851))</f>
        <v/>
      </c>
      <c r="X851" s="12">
        <f>IF(M851="","",MAX(0,N(X850),W851))</f>
        <v/>
      </c>
      <c r="Y851" s="12">
        <f>IF(M851="","",X851-W851)</f>
        <v/>
      </c>
      <c r="Z851" s="12">
        <f>IF(M851="","",IF(M851&lt;0,N(Z850)+1,0))</f>
        <v/>
      </c>
    </row>
    <row r="852">
      <c r="H852" s="7" t="n"/>
      <c r="I852" s="7" t="n"/>
      <c r="J852" s="7" t="n"/>
      <c r="K852" s="7" t="n"/>
      <c r="M852" s="8" t="n"/>
      <c r="P852" s="9" t="n"/>
      <c r="Q852" s="10" t="n"/>
      <c r="R852" s="10" t="n"/>
      <c r="S852" s="11" t="n"/>
      <c r="U852" s="12">
        <f>IF(OR(H852="",I852=""),"",ROUND(Settings!$B$4/ABS(H852-I852),2))</f>
        <v/>
      </c>
      <c r="V852" s="13">
        <f>IF(M852="","",ROUND(M852*Settings!$B$4,2))</f>
        <v/>
      </c>
      <c r="W852" s="12">
        <f>IF(M852="","",SUM($M$2:M852))</f>
        <v/>
      </c>
      <c r="X852" s="12">
        <f>IF(M852="","",MAX(0,N(X851),W852))</f>
        <v/>
      </c>
      <c r="Y852" s="12">
        <f>IF(M852="","",X852-W852)</f>
        <v/>
      </c>
      <c r="Z852" s="12">
        <f>IF(M852="","",IF(M852&lt;0,N(Z851)+1,0))</f>
        <v/>
      </c>
    </row>
    <row r="853">
      <c r="H853" s="7" t="n"/>
      <c r="I853" s="7" t="n"/>
      <c r="J853" s="7" t="n"/>
      <c r="K853" s="7" t="n"/>
      <c r="M853" s="8" t="n"/>
      <c r="P853" s="9" t="n"/>
      <c r="Q853" s="10" t="n"/>
      <c r="R853" s="10" t="n"/>
      <c r="S853" s="11" t="n"/>
      <c r="U853" s="12">
        <f>IF(OR(H853="",I853=""),"",ROUND(Settings!$B$4/ABS(H853-I853),2))</f>
        <v/>
      </c>
      <c r="V853" s="13">
        <f>IF(M853="","",ROUND(M853*Settings!$B$4,2))</f>
        <v/>
      </c>
      <c r="W853" s="12">
        <f>IF(M853="","",SUM($M$2:M853))</f>
        <v/>
      </c>
      <c r="X853" s="12">
        <f>IF(M853="","",MAX(0,N(X852),W853))</f>
        <v/>
      </c>
      <c r="Y853" s="12">
        <f>IF(M853="","",X853-W853)</f>
        <v/>
      </c>
      <c r="Z853" s="12">
        <f>IF(M853="","",IF(M853&lt;0,N(Z852)+1,0))</f>
        <v/>
      </c>
    </row>
    <row r="854">
      <c r="H854" s="7" t="n"/>
      <c r="I854" s="7" t="n"/>
      <c r="J854" s="7" t="n"/>
      <c r="K854" s="7" t="n"/>
      <c r="M854" s="8" t="n"/>
      <c r="P854" s="9" t="n"/>
      <c r="Q854" s="10" t="n"/>
      <c r="R854" s="10" t="n"/>
      <c r="S854" s="11" t="n"/>
      <c r="U854" s="12">
        <f>IF(OR(H854="",I854=""),"",ROUND(Settings!$B$4/ABS(H854-I854),2))</f>
        <v/>
      </c>
      <c r="V854" s="13">
        <f>IF(M854="","",ROUND(M854*Settings!$B$4,2))</f>
        <v/>
      </c>
      <c r="W854" s="12">
        <f>IF(M854="","",SUM($M$2:M854))</f>
        <v/>
      </c>
      <c r="X854" s="12">
        <f>IF(M854="","",MAX(0,N(X853),W854))</f>
        <v/>
      </c>
      <c r="Y854" s="12">
        <f>IF(M854="","",X854-W854)</f>
        <v/>
      </c>
      <c r="Z854" s="12">
        <f>IF(M854="","",IF(M854&lt;0,N(Z853)+1,0))</f>
        <v/>
      </c>
    </row>
    <row r="855">
      <c r="H855" s="7" t="n"/>
      <c r="I855" s="7" t="n"/>
      <c r="J855" s="7" t="n"/>
      <c r="K855" s="7" t="n"/>
      <c r="M855" s="8" t="n"/>
      <c r="P855" s="9" t="n"/>
      <c r="Q855" s="10" t="n"/>
      <c r="R855" s="10" t="n"/>
      <c r="S855" s="11" t="n"/>
      <c r="U855" s="12">
        <f>IF(OR(H855="",I855=""),"",ROUND(Settings!$B$4/ABS(H855-I855),2))</f>
        <v/>
      </c>
      <c r="V855" s="13">
        <f>IF(M855="","",ROUND(M855*Settings!$B$4,2))</f>
        <v/>
      </c>
      <c r="W855" s="12">
        <f>IF(M855="","",SUM($M$2:M855))</f>
        <v/>
      </c>
      <c r="X855" s="12">
        <f>IF(M855="","",MAX(0,N(X854),W855))</f>
        <v/>
      </c>
      <c r="Y855" s="12">
        <f>IF(M855="","",X855-W855)</f>
        <v/>
      </c>
      <c r="Z855" s="12">
        <f>IF(M855="","",IF(M855&lt;0,N(Z854)+1,0))</f>
        <v/>
      </c>
    </row>
    <row r="856">
      <c r="H856" s="7" t="n"/>
      <c r="I856" s="7" t="n"/>
      <c r="J856" s="7" t="n"/>
      <c r="K856" s="7" t="n"/>
      <c r="M856" s="8" t="n"/>
      <c r="P856" s="9" t="n"/>
      <c r="Q856" s="10" t="n"/>
      <c r="R856" s="10" t="n"/>
      <c r="S856" s="11" t="n"/>
      <c r="U856" s="12">
        <f>IF(OR(H856="",I856=""),"",ROUND(Settings!$B$4/ABS(H856-I856),2))</f>
        <v/>
      </c>
      <c r="V856" s="13">
        <f>IF(M856="","",ROUND(M856*Settings!$B$4,2))</f>
        <v/>
      </c>
      <c r="W856" s="12">
        <f>IF(M856="","",SUM($M$2:M856))</f>
        <v/>
      </c>
      <c r="X856" s="12">
        <f>IF(M856="","",MAX(0,N(X855),W856))</f>
        <v/>
      </c>
      <c r="Y856" s="12">
        <f>IF(M856="","",X856-W856)</f>
        <v/>
      </c>
      <c r="Z856" s="12">
        <f>IF(M856="","",IF(M856&lt;0,N(Z855)+1,0))</f>
        <v/>
      </c>
    </row>
    <row r="857">
      <c r="H857" s="7" t="n"/>
      <c r="I857" s="7" t="n"/>
      <c r="J857" s="7" t="n"/>
      <c r="K857" s="7" t="n"/>
      <c r="M857" s="8" t="n"/>
      <c r="P857" s="9" t="n"/>
      <c r="Q857" s="10" t="n"/>
      <c r="R857" s="10" t="n"/>
      <c r="S857" s="11" t="n"/>
      <c r="U857" s="12">
        <f>IF(OR(H857="",I857=""),"",ROUND(Settings!$B$4/ABS(H857-I857),2))</f>
        <v/>
      </c>
      <c r="V857" s="13">
        <f>IF(M857="","",ROUND(M857*Settings!$B$4,2))</f>
        <v/>
      </c>
      <c r="W857" s="12">
        <f>IF(M857="","",SUM($M$2:M857))</f>
        <v/>
      </c>
      <c r="X857" s="12">
        <f>IF(M857="","",MAX(0,N(X856),W857))</f>
        <v/>
      </c>
      <c r="Y857" s="12">
        <f>IF(M857="","",X857-W857)</f>
        <v/>
      </c>
      <c r="Z857" s="12">
        <f>IF(M857="","",IF(M857&lt;0,N(Z856)+1,0))</f>
        <v/>
      </c>
    </row>
    <row r="858">
      <c r="H858" s="7" t="n"/>
      <c r="I858" s="7" t="n"/>
      <c r="J858" s="7" t="n"/>
      <c r="K858" s="7" t="n"/>
      <c r="M858" s="8" t="n"/>
      <c r="P858" s="9" t="n"/>
      <c r="Q858" s="10" t="n"/>
      <c r="R858" s="10" t="n"/>
      <c r="S858" s="11" t="n"/>
      <c r="U858" s="12">
        <f>IF(OR(H858="",I858=""),"",ROUND(Settings!$B$4/ABS(H858-I858),2))</f>
        <v/>
      </c>
      <c r="V858" s="13">
        <f>IF(M858="","",ROUND(M858*Settings!$B$4,2))</f>
        <v/>
      </c>
      <c r="W858" s="12">
        <f>IF(M858="","",SUM($M$2:M858))</f>
        <v/>
      </c>
      <c r="X858" s="12">
        <f>IF(M858="","",MAX(0,N(X857),W858))</f>
        <v/>
      </c>
      <c r="Y858" s="12">
        <f>IF(M858="","",X858-W858)</f>
        <v/>
      </c>
      <c r="Z858" s="12">
        <f>IF(M858="","",IF(M858&lt;0,N(Z857)+1,0))</f>
        <v/>
      </c>
    </row>
    <row r="859">
      <c r="H859" s="7" t="n"/>
      <c r="I859" s="7" t="n"/>
      <c r="J859" s="7" t="n"/>
      <c r="K859" s="7" t="n"/>
      <c r="M859" s="8" t="n"/>
      <c r="P859" s="9" t="n"/>
      <c r="Q859" s="10" t="n"/>
      <c r="R859" s="10" t="n"/>
      <c r="S859" s="11" t="n"/>
      <c r="U859" s="12">
        <f>IF(OR(H859="",I859=""),"",ROUND(Settings!$B$4/ABS(H859-I859),2))</f>
        <v/>
      </c>
      <c r="V859" s="13">
        <f>IF(M859="","",ROUND(M859*Settings!$B$4,2))</f>
        <v/>
      </c>
      <c r="W859" s="12">
        <f>IF(M859="","",SUM($M$2:M859))</f>
        <v/>
      </c>
      <c r="X859" s="12">
        <f>IF(M859="","",MAX(0,N(X858),W859))</f>
        <v/>
      </c>
      <c r="Y859" s="12">
        <f>IF(M859="","",X859-W859)</f>
        <v/>
      </c>
      <c r="Z859" s="12">
        <f>IF(M859="","",IF(M859&lt;0,N(Z858)+1,0))</f>
        <v/>
      </c>
    </row>
    <row r="860">
      <c r="H860" s="7" t="n"/>
      <c r="I860" s="7" t="n"/>
      <c r="J860" s="7" t="n"/>
      <c r="K860" s="7" t="n"/>
      <c r="M860" s="8" t="n"/>
      <c r="P860" s="9" t="n"/>
      <c r="Q860" s="10" t="n"/>
      <c r="R860" s="10" t="n"/>
      <c r="S860" s="11" t="n"/>
      <c r="U860" s="12">
        <f>IF(OR(H860="",I860=""),"",ROUND(Settings!$B$4/ABS(H860-I860),2))</f>
        <v/>
      </c>
      <c r="V860" s="13">
        <f>IF(M860="","",ROUND(M860*Settings!$B$4,2))</f>
        <v/>
      </c>
      <c r="W860" s="12">
        <f>IF(M860="","",SUM($M$2:M860))</f>
        <v/>
      </c>
      <c r="X860" s="12">
        <f>IF(M860="","",MAX(0,N(X859),W860))</f>
        <v/>
      </c>
      <c r="Y860" s="12">
        <f>IF(M860="","",X860-W860)</f>
        <v/>
      </c>
      <c r="Z860" s="12">
        <f>IF(M860="","",IF(M860&lt;0,N(Z859)+1,0))</f>
        <v/>
      </c>
    </row>
    <row r="861">
      <c r="H861" s="7" t="n"/>
      <c r="I861" s="7" t="n"/>
      <c r="J861" s="7" t="n"/>
      <c r="K861" s="7" t="n"/>
      <c r="M861" s="8" t="n"/>
      <c r="P861" s="9" t="n"/>
      <c r="Q861" s="10" t="n"/>
      <c r="R861" s="10" t="n"/>
      <c r="S861" s="11" t="n"/>
      <c r="U861" s="12">
        <f>IF(OR(H861="",I861=""),"",ROUND(Settings!$B$4/ABS(H861-I861),2))</f>
        <v/>
      </c>
      <c r="V861" s="13">
        <f>IF(M861="","",ROUND(M861*Settings!$B$4,2))</f>
        <v/>
      </c>
      <c r="W861" s="12">
        <f>IF(M861="","",SUM($M$2:M861))</f>
        <v/>
      </c>
      <c r="X861" s="12">
        <f>IF(M861="","",MAX(0,N(X860),W861))</f>
        <v/>
      </c>
      <c r="Y861" s="12">
        <f>IF(M861="","",X861-W861)</f>
        <v/>
      </c>
      <c r="Z861" s="12">
        <f>IF(M861="","",IF(M861&lt;0,N(Z860)+1,0))</f>
        <v/>
      </c>
    </row>
    <row r="862">
      <c r="H862" s="7" t="n"/>
      <c r="I862" s="7" t="n"/>
      <c r="J862" s="7" t="n"/>
      <c r="K862" s="7" t="n"/>
      <c r="M862" s="8" t="n"/>
      <c r="P862" s="9" t="n"/>
      <c r="Q862" s="10" t="n"/>
      <c r="R862" s="10" t="n"/>
      <c r="S862" s="11" t="n"/>
      <c r="U862" s="12">
        <f>IF(OR(H862="",I862=""),"",ROUND(Settings!$B$4/ABS(H862-I862),2))</f>
        <v/>
      </c>
      <c r="V862" s="13">
        <f>IF(M862="","",ROUND(M862*Settings!$B$4,2))</f>
        <v/>
      </c>
      <c r="W862" s="12">
        <f>IF(M862="","",SUM($M$2:M862))</f>
        <v/>
      </c>
      <c r="X862" s="12">
        <f>IF(M862="","",MAX(0,N(X861),W862))</f>
        <v/>
      </c>
      <c r="Y862" s="12">
        <f>IF(M862="","",X862-W862)</f>
        <v/>
      </c>
      <c r="Z862" s="12">
        <f>IF(M862="","",IF(M862&lt;0,N(Z861)+1,0))</f>
        <v/>
      </c>
    </row>
    <row r="863">
      <c r="H863" s="7" t="n"/>
      <c r="I863" s="7" t="n"/>
      <c r="J863" s="7" t="n"/>
      <c r="K863" s="7" t="n"/>
      <c r="M863" s="8" t="n"/>
      <c r="P863" s="9" t="n"/>
      <c r="Q863" s="10" t="n"/>
      <c r="R863" s="10" t="n"/>
      <c r="S863" s="11" t="n"/>
      <c r="U863" s="12">
        <f>IF(OR(H863="",I863=""),"",ROUND(Settings!$B$4/ABS(H863-I863),2))</f>
        <v/>
      </c>
      <c r="V863" s="13">
        <f>IF(M863="","",ROUND(M863*Settings!$B$4,2))</f>
        <v/>
      </c>
      <c r="W863" s="12">
        <f>IF(M863="","",SUM($M$2:M863))</f>
        <v/>
      </c>
      <c r="X863" s="12">
        <f>IF(M863="","",MAX(0,N(X862),W863))</f>
        <v/>
      </c>
      <c r="Y863" s="12">
        <f>IF(M863="","",X863-W863)</f>
        <v/>
      </c>
      <c r="Z863" s="12">
        <f>IF(M863="","",IF(M863&lt;0,N(Z862)+1,0))</f>
        <v/>
      </c>
    </row>
    <row r="864">
      <c r="H864" s="7" t="n"/>
      <c r="I864" s="7" t="n"/>
      <c r="J864" s="7" t="n"/>
      <c r="K864" s="7" t="n"/>
      <c r="M864" s="8" t="n"/>
      <c r="P864" s="9" t="n"/>
      <c r="Q864" s="10" t="n"/>
      <c r="R864" s="10" t="n"/>
      <c r="S864" s="11" t="n"/>
      <c r="U864" s="12">
        <f>IF(OR(H864="",I864=""),"",ROUND(Settings!$B$4/ABS(H864-I864),2))</f>
        <v/>
      </c>
      <c r="V864" s="13">
        <f>IF(M864="","",ROUND(M864*Settings!$B$4,2))</f>
        <v/>
      </c>
      <c r="W864" s="12">
        <f>IF(M864="","",SUM($M$2:M864))</f>
        <v/>
      </c>
      <c r="X864" s="12">
        <f>IF(M864="","",MAX(0,N(X863),W864))</f>
        <v/>
      </c>
      <c r="Y864" s="12">
        <f>IF(M864="","",X864-W864)</f>
        <v/>
      </c>
      <c r="Z864" s="12">
        <f>IF(M864="","",IF(M864&lt;0,N(Z863)+1,0))</f>
        <v/>
      </c>
    </row>
    <row r="865">
      <c r="H865" s="7" t="n"/>
      <c r="I865" s="7" t="n"/>
      <c r="J865" s="7" t="n"/>
      <c r="K865" s="7" t="n"/>
      <c r="M865" s="8" t="n"/>
      <c r="P865" s="9" t="n"/>
      <c r="Q865" s="10" t="n"/>
      <c r="R865" s="10" t="n"/>
      <c r="S865" s="11" t="n"/>
      <c r="U865" s="12">
        <f>IF(OR(H865="",I865=""),"",ROUND(Settings!$B$4/ABS(H865-I865),2))</f>
        <v/>
      </c>
      <c r="V865" s="13">
        <f>IF(M865="","",ROUND(M865*Settings!$B$4,2))</f>
        <v/>
      </c>
      <c r="W865" s="12">
        <f>IF(M865="","",SUM($M$2:M865))</f>
        <v/>
      </c>
      <c r="X865" s="12">
        <f>IF(M865="","",MAX(0,N(X864),W865))</f>
        <v/>
      </c>
      <c r="Y865" s="12">
        <f>IF(M865="","",X865-W865)</f>
        <v/>
      </c>
      <c r="Z865" s="12">
        <f>IF(M865="","",IF(M865&lt;0,N(Z864)+1,0))</f>
        <v/>
      </c>
    </row>
    <row r="866">
      <c r="H866" s="7" t="n"/>
      <c r="I866" s="7" t="n"/>
      <c r="J866" s="7" t="n"/>
      <c r="K866" s="7" t="n"/>
      <c r="M866" s="8" t="n"/>
      <c r="P866" s="9" t="n"/>
      <c r="Q866" s="10" t="n"/>
      <c r="R866" s="10" t="n"/>
      <c r="S866" s="11" t="n"/>
      <c r="U866" s="12">
        <f>IF(OR(H866="",I866=""),"",ROUND(Settings!$B$4/ABS(H866-I866),2))</f>
        <v/>
      </c>
      <c r="V866" s="13">
        <f>IF(M866="","",ROUND(M866*Settings!$B$4,2))</f>
        <v/>
      </c>
      <c r="W866" s="12">
        <f>IF(M866="","",SUM($M$2:M866))</f>
        <v/>
      </c>
      <c r="X866" s="12">
        <f>IF(M866="","",MAX(0,N(X865),W866))</f>
        <v/>
      </c>
      <c r="Y866" s="12">
        <f>IF(M866="","",X866-W866)</f>
        <v/>
      </c>
      <c r="Z866" s="12">
        <f>IF(M866="","",IF(M866&lt;0,N(Z865)+1,0))</f>
        <v/>
      </c>
    </row>
    <row r="867">
      <c r="H867" s="7" t="n"/>
      <c r="I867" s="7" t="n"/>
      <c r="J867" s="7" t="n"/>
      <c r="K867" s="7" t="n"/>
      <c r="M867" s="8" t="n"/>
      <c r="P867" s="9" t="n"/>
      <c r="Q867" s="10" t="n"/>
      <c r="R867" s="10" t="n"/>
      <c r="S867" s="11" t="n"/>
      <c r="U867" s="12">
        <f>IF(OR(H867="",I867=""),"",ROUND(Settings!$B$4/ABS(H867-I867),2))</f>
        <v/>
      </c>
      <c r="V867" s="13">
        <f>IF(M867="","",ROUND(M867*Settings!$B$4,2))</f>
        <v/>
      </c>
      <c r="W867" s="12">
        <f>IF(M867="","",SUM($M$2:M867))</f>
        <v/>
      </c>
      <c r="X867" s="12">
        <f>IF(M867="","",MAX(0,N(X866),W867))</f>
        <v/>
      </c>
      <c r="Y867" s="12">
        <f>IF(M867="","",X867-W867)</f>
        <v/>
      </c>
      <c r="Z867" s="12">
        <f>IF(M867="","",IF(M867&lt;0,N(Z866)+1,0))</f>
        <v/>
      </c>
    </row>
    <row r="868">
      <c r="H868" s="7" t="n"/>
      <c r="I868" s="7" t="n"/>
      <c r="J868" s="7" t="n"/>
      <c r="K868" s="7" t="n"/>
      <c r="M868" s="8" t="n"/>
      <c r="P868" s="9" t="n"/>
      <c r="Q868" s="10" t="n"/>
      <c r="R868" s="10" t="n"/>
      <c r="S868" s="11" t="n"/>
      <c r="U868" s="12">
        <f>IF(OR(H868="",I868=""),"",ROUND(Settings!$B$4/ABS(H868-I868),2))</f>
        <v/>
      </c>
      <c r="V868" s="13">
        <f>IF(M868="","",ROUND(M868*Settings!$B$4,2))</f>
        <v/>
      </c>
      <c r="W868" s="12">
        <f>IF(M868="","",SUM($M$2:M868))</f>
        <v/>
      </c>
      <c r="X868" s="12">
        <f>IF(M868="","",MAX(0,N(X867),W868))</f>
        <v/>
      </c>
      <c r="Y868" s="12">
        <f>IF(M868="","",X868-W868)</f>
        <v/>
      </c>
      <c r="Z868" s="12">
        <f>IF(M868="","",IF(M868&lt;0,N(Z867)+1,0))</f>
        <v/>
      </c>
    </row>
    <row r="869">
      <c r="H869" s="7" t="n"/>
      <c r="I869" s="7" t="n"/>
      <c r="J869" s="7" t="n"/>
      <c r="K869" s="7" t="n"/>
      <c r="M869" s="8" t="n"/>
      <c r="P869" s="9" t="n"/>
      <c r="Q869" s="10" t="n"/>
      <c r="R869" s="10" t="n"/>
      <c r="S869" s="11" t="n"/>
      <c r="U869" s="12">
        <f>IF(OR(H869="",I869=""),"",ROUND(Settings!$B$4/ABS(H869-I869),2))</f>
        <v/>
      </c>
      <c r="V869" s="13">
        <f>IF(M869="","",ROUND(M869*Settings!$B$4,2))</f>
        <v/>
      </c>
      <c r="W869" s="12">
        <f>IF(M869="","",SUM($M$2:M869))</f>
        <v/>
      </c>
      <c r="X869" s="12">
        <f>IF(M869="","",MAX(0,N(X868),W869))</f>
        <v/>
      </c>
      <c r="Y869" s="12">
        <f>IF(M869="","",X869-W869)</f>
        <v/>
      </c>
      <c r="Z869" s="12">
        <f>IF(M869="","",IF(M869&lt;0,N(Z868)+1,0))</f>
        <v/>
      </c>
    </row>
    <row r="870">
      <c r="H870" s="7" t="n"/>
      <c r="I870" s="7" t="n"/>
      <c r="J870" s="7" t="n"/>
      <c r="K870" s="7" t="n"/>
      <c r="M870" s="8" t="n"/>
      <c r="P870" s="9" t="n"/>
      <c r="Q870" s="10" t="n"/>
      <c r="R870" s="10" t="n"/>
      <c r="S870" s="11" t="n"/>
      <c r="U870" s="12">
        <f>IF(OR(H870="",I870=""),"",ROUND(Settings!$B$4/ABS(H870-I870),2))</f>
        <v/>
      </c>
      <c r="V870" s="13">
        <f>IF(M870="","",ROUND(M870*Settings!$B$4,2))</f>
        <v/>
      </c>
      <c r="W870" s="12">
        <f>IF(M870="","",SUM($M$2:M870))</f>
        <v/>
      </c>
      <c r="X870" s="12">
        <f>IF(M870="","",MAX(0,N(X869),W870))</f>
        <v/>
      </c>
      <c r="Y870" s="12">
        <f>IF(M870="","",X870-W870)</f>
        <v/>
      </c>
      <c r="Z870" s="12">
        <f>IF(M870="","",IF(M870&lt;0,N(Z869)+1,0))</f>
        <v/>
      </c>
    </row>
    <row r="871">
      <c r="H871" s="7" t="n"/>
      <c r="I871" s="7" t="n"/>
      <c r="J871" s="7" t="n"/>
      <c r="K871" s="7" t="n"/>
      <c r="M871" s="8" t="n"/>
      <c r="P871" s="9" t="n"/>
      <c r="Q871" s="10" t="n"/>
      <c r="R871" s="10" t="n"/>
      <c r="S871" s="11" t="n"/>
      <c r="U871" s="12">
        <f>IF(OR(H871="",I871=""),"",ROUND(Settings!$B$4/ABS(H871-I871),2))</f>
        <v/>
      </c>
      <c r="V871" s="13">
        <f>IF(M871="","",ROUND(M871*Settings!$B$4,2))</f>
        <v/>
      </c>
      <c r="W871" s="12">
        <f>IF(M871="","",SUM($M$2:M871))</f>
        <v/>
      </c>
      <c r="X871" s="12">
        <f>IF(M871="","",MAX(0,N(X870),W871))</f>
        <v/>
      </c>
      <c r="Y871" s="12">
        <f>IF(M871="","",X871-W871)</f>
        <v/>
      </c>
      <c r="Z871" s="12">
        <f>IF(M871="","",IF(M871&lt;0,N(Z870)+1,0))</f>
        <v/>
      </c>
    </row>
    <row r="872">
      <c r="H872" s="7" t="n"/>
      <c r="I872" s="7" t="n"/>
      <c r="J872" s="7" t="n"/>
      <c r="K872" s="7" t="n"/>
      <c r="M872" s="8" t="n"/>
      <c r="P872" s="9" t="n"/>
      <c r="Q872" s="10" t="n"/>
      <c r="R872" s="10" t="n"/>
      <c r="S872" s="11" t="n"/>
      <c r="U872" s="12">
        <f>IF(OR(H872="",I872=""),"",ROUND(Settings!$B$4/ABS(H872-I872),2))</f>
        <v/>
      </c>
      <c r="V872" s="13">
        <f>IF(M872="","",ROUND(M872*Settings!$B$4,2))</f>
        <v/>
      </c>
      <c r="W872" s="12">
        <f>IF(M872="","",SUM($M$2:M872))</f>
        <v/>
      </c>
      <c r="X872" s="12">
        <f>IF(M872="","",MAX(0,N(X871),W872))</f>
        <v/>
      </c>
      <c r="Y872" s="12">
        <f>IF(M872="","",X872-W872)</f>
        <v/>
      </c>
      <c r="Z872" s="12">
        <f>IF(M872="","",IF(M872&lt;0,N(Z871)+1,0))</f>
        <v/>
      </c>
    </row>
    <row r="873">
      <c r="H873" s="7" t="n"/>
      <c r="I873" s="7" t="n"/>
      <c r="J873" s="7" t="n"/>
      <c r="K873" s="7" t="n"/>
      <c r="M873" s="8" t="n"/>
      <c r="P873" s="9" t="n"/>
      <c r="Q873" s="10" t="n"/>
      <c r="R873" s="10" t="n"/>
      <c r="S873" s="11" t="n"/>
      <c r="U873" s="12">
        <f>IF(OR(H873="",I873=""),"",ROUND(Settings!$B$4/ABS(H873-I873),2))</f>
        <v/>
      </c>
      <c r="V873" s="13">
        <f>IF(M873="","",ROUND(M873*Settings!$B$4,2))</f>
        <v/>
      </c>
      <c r="W873" s="12">
        <f>IF(M873="","",SUM($M$2:M873))</f>
        <v/>
      </c>
      <c r="X873" s="12">
        <f>IF(M873="","",MAX(0,N(X872),W873))</f>
        <v/>
      </c>
      <c r="Y873" s="12">
        <f>IF(M873="","",X873-W873)</f>
        <v/>
      </c>
      <c r="Z873" s="12">
        <f>IF(M873="","",IF(M873&lt;0,N(Z872)+1,0))</f>
        <v/>
      </c>
    </row>
    <row r="874">
      <c r="H874" s="7" t="n"/>
      <c r="I874" s="7" t="n"/>
      <c r="J874" s="7" t="n"/>
      <c r="K874" s="7" t="n"/>
      <c r="M874" s="8" t="n"/>
      <c r="P874" s="9" t="n"/>
      <c r="Q874" s="10" t="n"/>
      <c r="R874" s="10" t="n"/>
      <c r="S874" s="11" t="n"/>
      <c r="U874" s="12">
        <f>IF(OR(H874="",I874=""),"",ROUND(Settings!$B$4/ABS(H874-I874),2))</f>
        <v/>
      </c>
      <c r="V874" s="13">
        <f>IF(M874="","",ROUND(M874*Settings!$B$4,2))</f>
        <v/>
      </c>
      <c r="W874" s="12">
        <f>IF(M874="","",SUM($M$2:M874))</f>
        <v/>
      </c>
      <c r="X874" s="12">
        <f>IF(M874="","",MAX(0,N(X873),W874))</f>
        <v/>
      </c>
      <c r="Y874" s="12">
        <f>IF(M874="","",X874-W874)</f>
        <v/>
      </c>
      <c r="Z874" s="12">
        <f>IF(M874="","",IF(M874&lt;0,N(Z873)+1,0))</f>
        <v/>
      </c>
    </row>
    <row r="875">
      <c r="H875" s="7" t="n"/>
      <c r="I875" s="7" t="n"/>
      <c r="J875" s="7" t="n"/>
      <c r="K875" s="7" t="n"/>
      <c r="M875" s="8" t="n"/>
      <c r="P875" s="9" t="n"/>
      <c r="Q875" s="10" t="n"/>
      <c r="R875" s="10" t="n"/>
      <c r="S875" s="11" t="n"/>
      <c r="U875" s="12">
        <f>IF(OR(H875="",I875=""),"",ROUND(Settings!$B$4/ABS(H875-I875),2))</f>
        <v/>
      </c>
      <c r="V875" s="13">
        <f>IF(M875="","",ROUND(M875*Settings!$B$4,2))</f>
        <v/>
      </c>
      <c r="W875" s="12">
        <f>IF(M875="","",SUM($M$2:M875))</f>
        <v/>
      </c>
      <c r="X875" s="12">
        <f>IF(M875="","",MAX(0,N(X874),W875))</f>
        <v/>
      </c>
      <c r="Y875" s="12">
        <f>IF(M875="","",X875-W875)</f>
        <v/>
      </c>
      <c r="Z875" s="12">
        <f>IF(M875="","",IF(M875&lt;0,N(Z874)+1,0))</f>
        <v/>
      </c>
    </row>
    <row r="876">
      <c r="H876" s="7" t="n"/>
      <c r="I876" s="7" t="n"/>
      <c r="J876" s="7" t="n"/>
      <c r="K876" s="7" t="n"/>
      <c r="M876" s="8" t="n"/>
      <c r="P876" s="9" t="n"/>
      <c r="Q876" s="10" t="n"/>
      <c r="R876" s="10" t="n"/>
      <c r="S876" s="11" t="n"/>
      <c r="U876" s="12">
        <f>IF(OR(H876="",I876=""),"",ROUND(Settings!$B$4/ABS(H876-I876),2))</f>
        <v/>
      </c>
      <c r="V876" s="13">
        <f>IF(M876="","",ROUND(M876*Settings!$B$4,2))</f>
        <v/>
      </c>
      <c r="W876" s="12">
        <f>IF(M876="","",SUM($M$2:M876))</f>
        <v/>
      </c>
      <c r="X876" s="12">
        <f>IF(M876="","",MAX(0,N(X875),W876))</f>
        <v/>
      </c>
      <c r="Y876" s="12">
        <f>IF(M876="","",X876-W876)</f>
        <v/>
      </c>
      <c r="Z876" s="12">
        <f>IF(M876="","",IF(M876&lt;0,N(Z875)+1,0))</f>
        <v/>
      </c>
    </row>
    <row r="877">
      <c r="H877" s="7" t="n"/>
      <c r="I877" s="7" t="n"/>
      <c r="J877" s="7" t="n"/>
      <c r="K877" s="7" t="n"/>
      <c r="M877" s="8" t="n"/>
      <c r="P877" s="9" t="n"/>
      <c r="Q877" s="10" t="n"/>
      <c r="R877" s="10" t="n"/>
      <c r="S877" s="11" t="n"/>
      <c r="U877" s="12">
        <f>IF(OR(H877="",I877=""),"",ROUND(Settings!$B$4/ABS(H877-I877),2))</f>
        <v/>
      </c>
      <c r="V877" s="13">
        <f>IF(M877="","",ROUND(M877*Settings!$B$4,2))</f>
        <v/>
      </c>
      <c r="W877" s="12">
        <f>IF(M877="","",SUM($M$2:M877))</f>
        <v/>
      </c>
      <c r="X877" s="12">
        <f>IF(M877="","",MAX(0,N(X876),W877))</f>
        <v/>
      </c>
      <c r="Y877" s="12">
        <f>IF(M877="","",X877-W877)</f>
        <v/>
      </c>
      <c r="Z877" s="12">
        <f>IF(M877="","",IF(M877&lt;0,N(Z876)+1,0))</f>
        <v/>
      </c>
    </row>
    <row r="878">
      <c r="H878" s="7" t="n"/>
      <c r="I878" s="7" t="n"/>
      <c r="J878" s="7" t="n"/>
      <c r="K878" s="7" t="n"/>
      <c r="M878" s="8" t="n"/>
      <c r="P878" s="9" t="n"/>
      <c r="Q878" s="10" t="n"/>
      <c r="R878" s="10" t="n"/>
      <c r="S878" s="11" t="n"/>
      <c r="U878" s="12">
        <f>IF(OR(H878="",I878=""),"",ROUND(Settings!$B$4/ABS(H878-I878),2))</f>
        <v/>
      </c>
      <c r="V878" s="13">
        <f>IF(M878="","",ROUND(M878*Settings!$B$4,2))</f>
        <v/>
      </c>
      <c r="W878" s="12">
        <f>IF(M878="","",SUM($M$2:M878))</f>
        <v/>
      </c>
      <c r="X878" s="12">
        <f>IF(M878="","",MAX(0,N(X877),W878))</f>
        <v/>
      </c>
      <c r="Y878" s="12">
        <f>IF(M878="","",X878-W878)</f>
        <v/>
      </c>
      <c r="Z878" s="12">
        <f>IF(M878="","",IF(M878&lt;0,N(Z877)+1,0))</f>
        <v/>
      </c>
    </row>
    <row r="879">
      <c r="H879" s="7" t="n"/>
      <c r="I879" s="7" t="n"/>
      <c r="J879" s="7" t="n"/>
      <c r="K879" s="7" t="n"/>
      <c r="M879" s="8" t="n"/>
      <c r="P879" s="9" t="n"/>
      <c r="Q879" s="10" t="n"/>
      <c r="R879" s="10" t="n"/>
      <c r="S879" s="11" t="n"/>
      <c r="U879" s="12">
        <f>IF(OR(H879="",I879=""),"",ROUND(Settings!$B$4/ABS(H879-I879),2))</f>
        <v/>
      </c>
      <c r="V879" s="13">
        <f>IF(M879="","",ROUND(M879*Settings!$B$4,2))</f>
        <v/>
      </c>
      <c r="W879" s="12">
        <f>IF(M879="","",SUM($M$2:M879))</f>
        <v/>
      </c>
      <c r="X879" s="12">
        <f>IF(M879="","",MAX(0,N(X878),W879))</f>
        <v/>
      </c>
      <c r="Y879" s="12">
        <f>IF(M879="","",X879-W879)</f>
        <v/>
      </c>
      <c r="Z879" s="12">
        <f>IF(M879="","",IF(M879&lt;0,N(Z878)+1,0))</f>
        <v/>
      </c>
    </row>
    <row r="880">
      <c r="H880" s="7" t="n"/>
      <c r="I880" s="7" t="n"/>
      <c r="J880" s="7" t="n"/>
      <c r="K880" s="7" t="n"/>
      <c r="M880" s="8" t="n"/>
      <c r="P880" s="9" t="n"/>
      <c r="Q880" s="10" t="n"/>
      <c r="R880" s="10" t="n"/>
      <c r="S880" s="11" t="n"/>
      <c r="U880" s="12">
        <f>IF(OR(H880="",I880=""),"",ROUND(Settings!$B$4/ABS(H880-I880),2))</f>
        <v/>
      </c>
      <c r="V880" s="13">
        <f>IF(M880="","",ROUND(M880*Settings!$B$4,2))</f>
        <v/>
      </c>
      <c r="W880" s="12">
        <f>IF(M880="","",SUM($M$2:M880))</f>
        <v/>
      </c>
      <c r="X880" s="12">
        <f>IF(M880="","",MAX(0,N(X879),W880))</f>
        <v/>
      </c>
      <c r="Y880" s="12">
        <f>IF(M880="","",X880-W880)</f>
        <v/>
      </c>
      <c r="Z880" s="12">
        <f>IF(M880="","",IF(M880&lt;0,N(Z879)+1,0))</f>
        <v/>
      </c>
    </row>
    <row r="881">
      <c r="H881" s="7" t="n"/>
      <c r="I881" s="7" t="n"/>
      <c r="J881" s="7" t="n"/>
      <c r="K881" s="7" t="n"/>
      <c r="M881" s="8" t="n"/>
      <c r="P881" s="9" t="n"/>
      <c r="Q881" s="10" t="n"/>
      <c r="R881" s="10" t="n"/>
      <c r="S881" s="11" t="n"/>
      <c r="U881" s="12">
        <f>IF(OR(H881="",I881=""),"",ROUND(Settings!$B$4/ABS(H881-I881),2))</f>
        <v/>
      </c>
      <c r="V881" s="13">
        <f>IF(M881="","",ROUND(M881*Settings!$B$4,2))</f>
        <v/>
      </c>
      <c r="W881" s="12">
        <f>IF(M881="","",SUM($M$2:M881))</f>
        <v/>
      </c>
      <c r="X881" s="12">
        <f>IF(M881="","",MAX(0,N(X880),W881))</f>
        <v/>
      </c>
      <c r="Y881" s="12">
        <f>IF(M881="","",X881-W881)</f>
        <v/>
      </c>
      <c r="Z881" s="12">
        <f>IF(M881="","",IF(M881&lt;0,N(Z880)+1,0))</f>
        <v/>
      </c>
    </row>
    <row r="882">
      <c r="H882" s="7" t="n"/>
      <c r="I882" s="7" t="n"/>
      <c r="J882" s="7" t="n"/>
      <c r="K882" s="7" t="n"/>
      <c r="M882" s="8" t="n"/>
      <c r="P882" s="9" t="n"/>
      <c r="Q882" s="10" t="n"/>
      <c r="R882" s="10" t="n"/>
      <c r="S882" s="11" t="n"/>
      <c r="U882" s="12">
        <f>IF(OR(H882="",I882=""),"",ROUND(Settings!$B$4/ABS(H882-I882),2))</f>
        <v/>
      </c>
      <c r="V882" s="13">
        <f>IF(M882="","",ROUND(M882*Settings!$B$4,2))</f>
        <v/>
      </c>
      <c r="W882" s="12">
        <f>IF(M882="","",SUM($M$2:M882))</f>
        <v/>
      </c>
      <c r="X882" s="12">
        <f>IF(M882="","",MAX(0,N(X881),W882))</f>
        <v/>
      </c>
      <c r="Y882" s="12">
        <f>IF(M882="","",X882-W882)</f>
        <v/>
      </c>
      <c r="Z882" s="12">
        <f>IF(M882="","",IF(M882&lt;0,N(Z881)+1,0))</f>
        <v/>
      </c>
    </row>
    <row r="883">
      <c r="H883" s="7" t="n"/>
      <c r="I883" s="7" t="n"/>
      <c r="J883" s="7" t="n"/>
      <c r="K883" s="7" t="n"/>
      <c r="M883" s="8" t="n"/>
      <c r="P883" s="9" t="n"/>
      <c r="Q883" s="10" t="n"/>
      <c r="R883" s="10" t="n"/>
      <c r="S883" s="11" t="n"/>
      <c r="U883" s="12">
        <f>IF(OR(H883="",I883=""),"",ROUND(Settings!$B$4/ABS(H883-I883),2))</f>
        <v/>
      </c>
      <c r="V883" s="13">
        <f>IF(M883="","",ROUND(M883*Settings!$B$4,2))</f>
        <v/>
      </c>
      <c r="W883" s="12">
        <f>IF(M883="","",SUM($M$2:M883))</f>
        <v/>
      </c>
      <c r="X883" s="12">
        <f>IF(M883="","",MAX(0,N(X882),W883))</f>
        <v/>
      </c>
      <c r="Y883" s="12">
        <f>IF(M883="","",X883-W883)</f>
        <v/>
      </c>
      <c r="Z883" s="12">
        <f>IF(M883="","",IF(M883&lt;0,N(Z882)+1,0))</f>
        <v/>
      </c>
    </row>
    <row r="884">
      <c r="H884" s="7" t="n"/>
      <c r="I884" s="7" t="n"/>
      <c r="J884" s="7" t="n"/>
      <c r="K884" s="7" t="n"/>
      <c r="M884" s="8" t="n"/>
      <c r="P884" s="9" t="n"/>
      <c r="Q884" s="10" t="n"/>
      <c r="R884" s="10" t="n"/>
      <c r="S884" s="11" t="n"/>
      <c r="U884" s="12">
        <f>IF(OR(H884="",I884=""),"",ROUND(Settings!$B$4/ABS(H884-I884),2))</f>
        <v/>
      </c>
      <c r="V884" s="13">
        <f>IF(M884="","",ROUND(M884*Settings!$B$4,2))</f>
        <v/>
      </c>
      <c r="W884" s="12">
        <f>IF(M884="","",SUM($M$2:M884))</f>
        <v/>
      </c>
      <c r="X884" s="12">
        <f>IF(M884="","",MAX(0,N(X883),W884))</f>
        <v/>
      </c>
      <c r="Y884" s="12">
        <f>IF(M884="","",X884-W884)</f>
        <v/>
      </c>
      <c r="Z884" s="12">
        <f>IF(M884="","",IF(M884&lt;0,N(Z883)+1,0))</f>
        <v/>
      </c>
    </row>
    <row r="885">
      <c r="H885" s="7" t="n"/>
      <c r="I885" s="7" t="n"/>
      <c r="J885" s="7" t="n"/>
      <c r="K885" s="7" t="n"/>
      <c r="M885" s="8" t="n"/>
      <c r="P885" s="9" t="n"/>
      <c r="Q885" s="10" t="n"/>
      <c r="R885" s="10" t="n"/>
      <c r="S885" s="11" t="n"/>
      <c r="U885" s="12">
        <f>IF(OR(H885="",I885=""),"",ROUND(Settings!$B$4/ABS(H885-I885),2))</f>
        <v/>
      </c>
      <c r="V885" s="13">
        <f>IF(M885="","",ROUND(M885*Settings!$B$4,2))</f>
        <v/>
      </c>
      <c r="W885" s="12">
        <f>IF(M885="","",SUM($M$2:M885))</f>
        <v/>
      </c>
      <c r="X885" s="12">
        <f>IF(M885="","",MAX(0,N(X884),W885))</f>
        <v/>
      </c>
      <c r="Y885" s="12">
        <f>IF(M885="","",X885-W885)</f>
        <v/>
      </c>
      <c r="Z885" s="12">
        <f>IF(M885="","",IF(M885&lt;0,N(Z884)+1,0))</f>
        <v/>
      </c>
    </row>
    <row r="886">
      <c r="H886" s="7" t="n"/>
      <c r="I886" s="7" t="n"/>
      <c r="J886" s="7" t="n"/>
      <c r="K886" s="7" t="n"/>
      <c r="M886" s="8" t="n"/>
      <c r="P886" s="9" t="n"/>
      <c r="Q886" s="10" t="n"/>
      <c r="R886" s="10" t="n"/>
      <c r="S886" s="11" t="n"/>
      <c r="U886" s="12">
        <f>IF(OR(H886="",I886=""),"",ROUND(Settings!$B$4/ABS(H886-I886),2))</f>
        <v/>
      </c>
      <c r="V886" s="13">
        <f>IF(M886="","",ROUND(M886*Settings!$B$4,2))</f>
        <v/>
      </c>
      <c r="W886" s="12">
        <f>IF(M886="","",SUM($M$2:M886))</f>
        <v/>
      </c>
      <c r="X886" s="12">
        <f>IF(M886="","",MAX(0,N(X885),W886))</f>
        <v/>
      </c>
      <c r="Y886" s="12">
        <f>IF(M886="","",X886-W886)</f>
        <v/>
      </c>
      <c r="Z886" s="12">
        <f>IF(M886="","",IF(M886&lt;0,N(Z885)+1,0))</f>
        <v/>
      </c>
    </row>
    <row r="887">
      <c r="H887" s="7" t="n"/>
      <c r="I887" s="7" t="n"/>
      <c r="J887" s="7" t="n"/>
      <c r="K887" s="7" t="n"/>
      <c r="M887" s="8" t="n"/>
      <c r="P887" s="9" t="n"/>
      <c r="Q887" s="10" t="n"/>
      <c r="R887" s="10" t="n"/>
      <c r="S887" s="11" t="n"/>
      <c r="U887" s="12">
        <f>IF(OR(H887="",I887=""),"",ROUND(Settings!$B$4/ABS(H887-I887),2))</f>
        <v/>
      </c>
      <c r="V887" s="13">
        <f>IF(M887="","",ROUND(M887*Settings!$B$4,2))</f>
        <v/>
      </c>
      <c r="W887" s="12">
        <f>IF(M887="","",SUM($M$2:M887))</f>
        <v/>
      </c>
      <c r="X887" s="12">
        <f>IF(M887="","",MAX(0,N(X886),W887))</f>
        <v/>
      </c>
      <c r="Y887" s="12">
        <f>IF(M887="","",X887-W887)</f>
        <v/>
      </c>
      <c r="Z887" s="12">
        <f>IF(M887="","",IF(M887&lt;0,N(Z886)+1,0))</f>
        <v/>
      </c>
    </row>
    <row r="888">
      <c r="H888" s="7" t="n"/>
      <c r="I888" s="7" t="n"/>
      <c r="J888" s="7" t="n"/>
      <c r="K888" s="7" t="n"/>
      <c r="M888" s="8" t="n"/>
      <c r="P888" s="9" t="n"/>
      <c r="Q888" s="10" t="n"/>
      <c r="R888" s="10" t="n"/>
      <c r="S888" s="11" t="n"/>
      <c r="U888" s="12">
        <f>IF(OR(H888="",I888=""),"",ROUND(Settings!$B$4/ABS(H888-I888),2))</f>
        <v/>
      </c>
      <c r="V888" s="13">
        <f>IF(M888="","",ROUND(M888*Settings!$B$4,2))</f>
        <v/>
      </c>
      <c r="W888" s="12">
        <f>IF(M888="","",SUM($M$2:M888))</f>
        <v/>
      </c>
      <c r="X888" s="12">
        <f>IF(M888="","",MAX(0,N(X887),W888))</f>
        <v/>
      </c>
      <c r="Y888" s="12">
        <f>IF(M888="","",X888-W888)</f>
        <v/>
      </c>
      <c r="Z888" s="12">
        <f>IF(M888="","",IF(M888&lt;0,N(Z887)+1,0))</f>
        <v/>
      </c>
    </row>
    <row r="889">
      <c r="H889" s="7" t="n"/>
      <c r="I889" s="7" t="n"/>
      <c r="J889" s="7" t="n"/>
      <c r="K889" s="7" t="n"/>
      <c r="M889" s="8" t="n"/>
      <c r="P889" s="9" t="n"/>
      <c r="Q889" s="10" t="n"/>
      <c r="R889" s="10" t="n"/>
      <c r="S889" s="11" t="n"/>
      <c r="U889" s="12">
        <f>IF(OR(H889="",I889=""),"",ROUND(Settings!$B$4/ABS(H889-I889),2))</f>
        <v/>
      </c>
      <c r="V889" s="13">
        <f>IF(M889="","",ROUND(M889*Settings!$B$4,2))</f>
        <v/>
      </c>
      <c r="W889" s="12">
        <f>IF(M889="","",SUM($M$2:M889))</f>
        <v/>
      </c>
      <c r="X889" s="12">
        <f>IF(M889="","",MAX(0,N(X888),W889))</f>
        <v/>
      </c>
      <c r="Y889" s="12">
        <f>IF(M889="","",X889-W889)</f>
        <v/>
      </c>
      <c r="Z889" s="12">
        <f>IF(M889="","",IF(M889&lt;0,N(Z888)+1,0))</f>
        <v/>
      </c>
    </row>
    <row r="890">
      <c r="H890" s="7" t="n"/>
      <c r="I890" s="7" t="n"/>
      <c r="J890" s="7" t="n"/>
      <c r="K890" s="7" t="n"/>
      <c r="M890" s="8" t="n"/>
      <c r="P890" s="9" t="n"/>
      <c r="Q890" s="10" t="n"/>
      <c r="R890" s="10" t="n"/>
      <c r="S890" s="11" t="n"/>
      <c r="U890" s="12">
        <f>IF(OR(H890="",I890=""),"",ROUND(Settings!$B$4/ABS(H890-I890),2))</f>
        <v/>
      </c>
      <c r="V890" s="13">
        <f>IF(M890="","",ROUND(M890*Settings!$B$4,2))</f>
        <v/>
      </c>
      <c r="W890" s="12">
        <f>IF(M890="","",SUM($M$2:M890))</f>
        <v/>
      </c>
      <c r="X890" s="12">
        <f>IF(M890="","",MAX(0,N(X889),W890))</f>
        <v/>
      </c>
      <c r="Y890" s="12">
        <f>IF(M890="","",X890-W890)</f>
        <v/>
      </c>
      <c r="Z890" s="12">
        <f>IF(M890="","",IF(M890&lt;0,N(Z889)+1,0))</f>
        <v/>
      </c>
    </row>
    <row r="891">
      <c r="H891" s="7" t="n"/>
      <c r="I891" s="7" t="n"/>
      <c r="J891" s="7" t="n"/>
      <c r="K891" s="7" t="n"/>
      <c r="M891" s="8" t="n"/>
      <c r="P891" s="9" t="n"/>
      <c r="Q891" s="10" t="n"/>
      <c r="R891" s="10" t="n"/>
      <c r="S891" s="11" t="n"/>
      <c r="U891" s="12">
        <f>IF(OR(H891="",I891=""),"",ROUND(Settings!$B$4/ABS(H891-I891),2))</f>
        <v/>
      </c>
      <c r="V891" s="13">
        <f>IF(M891="","",ROUND(M891*Settings!$B$4,2))</f>
        <v/>
      </c>
      <c r="W891" s="12">
        <f>IF(M891="","",SUM($M$2:M891))</f>
        <v/>
      </c>
      <c r="X891" s="12">
        <f>IF(M891="","",MAX(0,N(X890),W891))</f>
        <v/>
      </c>
      <c r="Y891" s="12">
        <f>IF(M891="","",X891-W891)</f>
        <v/>
      </c>
      <c r="Z891" s="12">
        <f>IF(M891="","",IF(M891&lt;0,N(Z890)+1,0))</f>
        <v/>
      </c>
    </row>
    <row r="892">
      <c r="H892" s="7" t="n"/>
      <c r="I892" s="7" t="n"/>
      <c r="J892" s="7" t="n"/>
      <c r="K892" s="7" t="n"/>
      <c r="M892" s="8" t="n"/>
      <c r="P892" s="9" t="n"/>
      <c r="Q892" s="10" t="n"/>
      <c r="R892" s="10" t="n"/>
      <c r="S892" s="11" t="n"/>
      <c r="U892" s="12">
        <f>IF(OR(H892="",I892=""),"",ROUND(Settings!$B$4/ABS(H892-I892),2))</f>
        <v/>
      </c>
      <c r="V892" s="13">
        <f>IF(M892="","",ROUND(M892*Settings!$B$4,2))</f>
        <v/>
      </c>
      <c r="W892" s="12">
        <f>IF(M892="","",SUM($M$2:M892))</f>
        <v/>
      </c>
      <c r="X892" s="12">
        <f>IF(M892="","",MAX(0,N(X891),W892))</f>
        <v/>
      </c>
      <c r="Y892" s="12">
        <f>IF(M892="","",X892-W892)</f>
        <v/>
      </c>
      <c r="Z892" s="12">
        <f>IF(M892="","",IF(M892&lt;0,N(Z891)+1,0))</f>
        <v/>
      </c>
    </row>
    <row r="893">
      <c r="H893" s="7" t="n"/>
      <c r="I893" s="7" t="n"/>
      <c r="J893" s="7" t="n"/>
      <c r="K893" s="7" t="n"/>
      <c r="M893" s="8" t="n"/>
      <c r="P893" s="9" t="n"/>
      <c r="Q893" s="10" t="n"/>
      <c r="R893" s="10" t="n"/>
      <c r="S893" s="11" t="n"/>
      <c r="U893" s="12">
        <f>IF(OR(H893="",I893=""),"",ROUND(Settings!$B$4/ABS(H893-I893),2))</f>
        <v/>
      </c>
      <c r="V893" s="13">
        <f>IF(M893="","",ROUND(M893*Settings!$B$4,2))</f>
        <v/>
      </c>
      <c r="W893" s="12">
        <f>IF(M893="","",SUM($M$2:M893))</f>
        <v/>
      </c>
      <c r="X893" s="12">
        <f>IF(M893="","",MAX(0,N(X892),W893))</f>
        <v/>
      </c>
      <c r="Y893" s="12">
        <f>IF(M893="","",X893-W893)</f>
        <v/>
      </c>
      <c r="Z893" s="12">
        <f>IF(M893="","",IF(M893&lt;0,N(Z892)+1,0))</f>
        <v/>
      </c>
    </row>
    <row r="894">
      <c r="H894" s="7" t="n"/>
      <c r="I894" s="7" t="n"/>
      <c r="J894" s="7" t="n"/>
      <c r="K894" s="7" t="n"/>
      <c r="M894" s="8" t="n"/>
      <c r="P894" s="9" t="n"/>
      <c r="Q894" s="10" t="n"/>
      <c r="R894" s="10" t="n"/>
      <c r="S894" s="11" t="n"/>
      <c r="U894" s="12">
        <f>IF(OR(H894="",I894=""),"",ROUND(Settings!$B$4/ABS(H894-I894),2))</f>
        <v/>
      </c>
      <c r="V894" s="13">
        <f>IF(M894="","",ROUND(M894*Settings!$B$4,2))</f>
        <v/>
      </c>
      <c r="W894" s="12">
        <f>IF(M894="","",SUM($M$2:M894))</f>
        <v/>
      </c>
      <c r="X894" s="12">
        <f>IF(M894="","",MAX(0,N(X893),W894))</f>
        <v/>
      </c>
      <c r="Y894" s="12">
        <f>IF(M894="","",X894-W894)</f>
        <v/>
      </c>
      <c r="Z894" s="12">
        <f>IF(M894="","",IF(M894&lt;0,N(Z893)+1,0))</f>
        <v/>
      </c>
    </row>
    <row r="895">
      <c r="H895" s="7" t="n"/>
      <c r="I895" s="7" t="n"/>
      <c r="J895" s="7" t="n"/>
      <c r="K895" s="7" t="n"/>
      <c r="M895" s="8" t="n"/>
      <c r="P895" s="9" t="n"/>
      <c r="Q895" s="10" t="n"/>
      <c r="R895" s="10" t="n"/>
      <c r="S895" s="11" t="n"/>
      <c r="U895" s="12">
        <f>IF(OR(H895="",I895=""),"",ROUND(Settings!$B$4/ABS(H895-I895),2))</f>
        <v/>
      </c>
      <c r="V895" s="13">
        <f>IF(M895="","",ROUND(M895*Settings!$B$4,2))</f>
        <v/>
      </c>
      <c r="W895" s="12">
        <f>IF(M895="","",SUM($M$2:M895))</f>
        <v/>
      </c>
      <c r="X895" s="12">
        <f>IF(M895="","",MAX(0,N(X894),W895))</f>
        <v/>
      </c>
      <c r="Y895" s="12">
        <f>IF(M895="","",X895-W895)</f>
        <v/>
      </c>
      <c r="Z895" s="12">
        <f>IF(M895="","",IF(M895&lt;0,N(Z894)+1,0))</f>
        <v/>
      </c>
    </row>
    <row r="896">
      <c r="H896" s="7" t="n"/>
      <c r="I896" s="7" t="n"/>
      <c r="J896" s="7" t="n"/>
      <c r="K896" s="7" t="n"/>
      <c r="M896" s="8" t="n"/>
      <c r="P896" s="9" t="n"/>
      <c r="Q896" s="10" t="n"/>
      <c r="R896" s="10" t="n"/>
      <c r="S896" s="11" t="n"/>
      <c r="U896" s="12">
        <f>IF(OR(H896="",I896=""),"",ROUND(Settings!$B$4/ABS(H896-I896),2))</f>
        <v/>
      </c>
      <c r="V896" s="13">
        <f>IF(M896="","",ROUND(M896*Settings!$B$4,2))</f>
        <v/>
      </c>
      <c r="W896" s="12">
        <f>IF(M896="","",SUM($M$2:M896))</f>
        <v/>
      </c>
      <c r="X896" s="12">
        <f>IF(M896="","",MAX(0,N(X895),W896))</f>
        <v/>
      </c>
      <c r="Y896" s="12">
        <f>IF(M896="","",X896-W896)</f>
        <v/>
      </c>
      <c r="Z896" s="12">
        <f>IF(M896="","",IF(M896&lt;0,N(Z895)+1,0))</f>
        <v/>
      </c>
    </row>
    <row r="897">
      <c r="H897" s="7" t="n"/>
      <c r="I897" s="7" t="n"/>
      <c r="J897" s="7" t="n"/>
      <c r="K897" s="7" t="n"/>
      <c r="M897" s="8" t="n"/>
      <c r="P897" s="9" t="n"/>
      <c r="Q897" s="10" t="n"/>
      <c r="R897" s="10" t="n"/>
      <c r="S897" s="11" t="n"/>
      <c r="U897" s="12">
        <f>IF(OR(H897="",I897=""),"",ROUND(Settings!$B$4/ABS(H897-I897),2))</f>
        <v/>
      </c>
      <c r="V897" s="13">
        <f>IF(M897="","",ROUND(M897*Settings!$B$4,2))</f>
        <v/>
      </c>
      <c r="W897" s="12">
        <f>IF(M897="","",SUM($M$2:M897))</f>
        <v/>
      </c>
      <c r="X897" s="12">
        <f>IF(M897="","",MAX(0,N(X896),W897))</f>
        <v/>
      </c>
      <c r="Y897" s="12">
        <f>IF(M897="","",X897-W897)</f>
        <v/>
      </c>
      <c r="Z897" s="12">
        <f>IF(M897="","",IF(M897&lt;0,N(Z896)+1,0))</f>
        <v/>
      </c>
    </row>
    <row r="898">
      <c r="H898" s="7" t="n"/>
      <c r="I898" s="7" t="n"/>
      <c r="J898" s="7" t="n"/>
      <c r="K898" s="7" t="n"/>
      <c r="M898" s="8" t="n"/>
      <c r="P898" s="9" t="n"/>
      <c r="Q898" s="10" t="n"/>
      <c r="R898" s="10" t="n"/>
      <c r="S898" s="11" t="n"/>
      <c r="U898" s="12">
        <f>IF(OR(H898="",I898=""),"",ROUND(Settings!$B$4/ABS(H898-I898),2))</f>
        <v/>
      </c>
      <c r="V898" s="13">
        <f>IF(M898="","",ROUND(M898*Settings!$B$4,2))</f>
        <v/>
      </c>
      <c r="W898" s="12">
        <f>IF(M898="","",SUM($M$2:M898))</f>
        <v/>
      </c>
      <c r="X898" s="12">
        <f>IF(M898="","",MAX(0,N(X897),W898))</f>
        <v/>
      </c>
      <c r="Y898" s="12">
        <f>IF(M898="","",X898-W898)</f>
        <v/>
      </c>
      <c r="Z898" s="12">
        <f>IF(M898="","",IF(M898&lt;0,N(Z897)+1,0))</f>
        <v/>
      </c>
    </row>
    <row r="899">
      <c r="H899" s="7" t="n"/>
      <c r="I899" s="7" t="n"/>
      <c r="J899" s="7" t="n"/>
      <c r="K899" s="7" t="n"/>
      <c r="M899" s="8" t="n"/>
      <c r="P899" s="9" t="n"/>
      <c r="Q899" s="10" t="n"/>
      <c r="R899" s="10" t="n"/>
      <c r="S899" s="11" t="n"/>
      <c r="U899" s="12">
        <f>IF(OR(H899="",I899=""),"",ROUND(Settings!$B$4/ABS(H899-I899),2))</f>
        <v/>
      </c>
      <c r="V899" s="13">
        <f>IF(M899="","",ROUND(M899*Settings!$B$4,2))</f>
        <v/>
      </c>
      <c r="W899" s="12">
        <f>IF(M899="","",SUM($M$2:M899))</f>
        <v/>
      </c>
      <c r="X899" s="12">
        <f>IF(M899="","",MAX(0,N(X898),W899))</f>
        <v/>
      </c>
      <c r="Y899" s="12">
        <f>IF(M899="","",X899-W899)</f>
        <v/>
      </c>
      <c r="Z899" s="12">
        <f>IF(M899="","",IF(M899&lt;0,N(Z898)+1,0))</f>
        <v/>
      </c>
    </row>
    <row r="900">
      <c r="H900" s="7" t="n"/>
      <c r="I900" s="7" t="n"/>
      <c r="J900" s="7" t="n"/>
      <c r="K900" s="7" t="n"/>
      <c r="M900" s="8" t="n"/>
      <c r="P900" s="9" t="n"/>
      <c r="Q900" s="10" t="n"/>
      <c r="R900" s="10" t="n"/>
      <c r="S900" s="11" t="n"/>
      <c r="U900" s="12">
        <f>IF(OR(H900="",I900=""),"",ROUND(Settings!$B$4/ABS(H900-I900),2))</f>
        <v/>
      </c>
      <c r="V900" s="13">
        <f>IF(M900="","",ROUND(M900*Settings!$B$4,2))</f>
        <v/>
      </c>
      <c r="W900" s="12">
        <f>IF(M900="","",SUM($M$2:M900))</f>
        <v/>
      </c>
      <c r="X900" s="12">
        <f>IF(M900="","",MAX(0,N(X899),W900))</f>
        <v/>
      </c>
      <c r="Y900" s="12">
        <f>IF(M900="","",X900-W900)</f>
        <v/>
      </c>
      <c r="Z900" s="12">
        <f>IF(M900="","",IF(M900&lt;0,N(Z899)+1,0))</f>
        <v/>
      </c>
    </row>
    <row r="901">
      <c r="H901" s="7" t="n"/>
      <c r="I901" s="7" t="n"/>
      <c r="J901" s="7" t="n"/>
      <c r="K901" s="7" t="n"/>
      <c r="M901" s="8" t="n"/>
      <c r="P901" s="9" t="n"/>
      <c r="Q901" s="10" t="n"/>
      <c r="R901" s="10" t="n"/>
      <c r="S901" s="11" t="n"/>
      <c r="U901" s="12">
        <f>IF(OR(H901="",I901=""),"",ROUND(Settings!$B$4/ABS(H901-I901),2))</f>
        <v/>
      </c>
      <c r="V901" s="13">
        <f>IF(M901="","",ROUND(M901*Settings!$B$4,2))</f>
        <v/>
      </c>
      <c r="W901" s="12">
        <f>IF(M901="","",SUM($M$2:M901))</f>
        <v/>
      </c>
      <c r="X901" s="12">
        <f>IF(M901="","",MAX(0,N(X900),W901))</f>
        <v/>
      </c>
      <c r="Y901" s="12">
        <f>IF(M901="","",X901-W901)</f>
        <v/>
      </c>
      <c r="Z901" s="12">
        <f>IF(M901="","",IF(M901&lt;0,N(Z900)+1,0))</f>
        <v/>
      </c>
    </row>
    <row r="902">
      <c r="H902" s="7" t="n"/>
      <c r="I902" s="7" t="n"/>
      <c r="J902" s="7" t="n"/>
      <c r="K902" s="7" t="n"/>
      <c r="M902" s="8" t="n"/>
      <c r="P902" s="9" t="n"/>
      <c r="Q902" s="10" t="n"/>
      <c r="R902" s="10" t="n"/>
      <c r="S902" s="11" t="n"/>
      <c r="U902" s="12">
        <f>IF(OR(H902="",I902=""),"",ROUND(Settings!$B$4/ABS(H902-I902),2))</f>
        <v/>
      </c>
      <c r="V902" s="13">
        <f>IF(M902="","",ROUND(M902*Settings!$B$4,2))</f>
        <v/>
      </c>
      <c r="W902" s="12">
        <f>IF(M902="","",SUM($M$2:M902))</f>
        <v/>
      </c>
      <c r="X902" s="12">
        <f>IF(M902="","",MAX(0,N(X901),W902))</f>
        <v/>
      </c>
      <c r="Y902" s="12">
        <f>IF(M902="","",X902-W902)</f>
        <v/>
      </c>
      <c r="Z902" s="12">
        <f>IF(M902="","",IF(M902&lt;0,N(Z901)+1,0))</f>
        <v/>
      </c>
    </row>
    <row r="903">
      <c r="H903" s="7" t="n"/>
      <c r="I903" s="7" t="n"/>
      <c r="J903" s="7" t="n"/>
      <c r="K903" s="7" t="n"/>
      <c r="M903" s="8" t="n"/>
      <c r="P903" s="9" t="n"/>
      <c r="Q903" s="10" t="n"/>
      <c r="R903" s="10" t="n"/>
      <c r="S903" s="11" t="n"/>
      <c r="U903" s="12">
        <f>IF(OR(H903="",I903=""),"",ROUND(Settings!$B$4/ABS(H903-I903),2))</f>
        <v/>
      </c>
      <c r="V903" s="13">
        <f>IF(M903="","",ROUND(M903*Settings!$B$4,2))</f>
        <v/>
      </c>
      <c r="W903" s="12">
        <f>IF(M903="","",SUM($M$2:M903))</f>
        <v/>
      </c>
      <c r="X903" s="12">
        <f>IF(M903="","",MAX(0,N(X902),W903))</f>
        <v/>
      </c>
      <c r="Y903" s="12">
        <f>IF(M903="","",X903-W903)</f>
        <v/>
      </c>
      <c r="Z903" s="12">
        <f>IF(M903="","",IF(M903&lt;0,N(Z902)+1,0))</f>
        <v/>
      </c>
    </row>
    <row r="904">
      <c r="H904" s="7" t="n"/>
      <c r="I904" s="7" t="n"/>
      <c r="J904" s="7" t="n"/>
      <c r="K904" s="7" t="n"/>
      <c r="M904" s="8" t="n"/>
      <c r="P904" s="9" t="n"/>
      <c r="Q904" s="10" t="n"/>
      <c r="R904" s="10" t="n"/>
      <c r="S904" s="11" t="n"/>
      <c r="U904" s="12">
        <f>IF(OR(H904="",I904=""),"",ROUND(Settings!$B$4/ABS(H904-I904),2))</f>
        <v/>
      </c>
      <c r="V904" s="13">
        <f>IF(M904="","",ROUND(M904*Settings!$B$4,2))</f>
        <v/>
      </c>
      <c r="W904" s="12">
        <f>IF(M904="","",SUM($M$2:M904))</f>
        <v/>
      </c>
      <c r="X904" s="12">
        <f>IF(M904="","",MAX(0,N(X903),W904))</f>
        <v/>
      </c>
      <c r="Y904" s="12">
        <f>IF(M904="","",X904-W904)</f>
        <v/>
      </c>
      <c r="Z904" s="12">
        <f>IF(M904="","",IF(M904&lt;0,N(Z903)+1,0))</f>
        <v/>
      </c>
    </row>
    <row r="905">
      <c r="H905" s="7" t="n"/>
      <c r="I905" s="7" t="n"/>
      <c r="J905" s="7" t="n"/>
      <c r="K905" s="7" t="n"/>
      <c r="M905" s="8" t="n"/>
      <c r="P905" s="9" t="n"/>
      <c r="Q905" s="10" t="n"/>
      <c r="R905" s="10" t="n"/>
      <c r="S905" s="11" t="n"/>
      <c r="U905" s="12">
        <f>IF(OR(H905="",I905=""),"",ROUND(Settings!$B$4/ABS(H905-I905),2))</f>
        <v/>
      </c>
      <c r="V905" s="13">
        <f>IF(M905="","",ROUND(M905*Settings!$B$4,2))</f>
        <v/>
      </c>
      <c r="W905" s="12">
        <f>IF(M905="","",SUM($M$2:M905))</f>
        <v/>
      </c>
      <c r="X905" s="12">
        <f>IF(M905="","",MAX(0,N(X904),W905))</f>
        <v/>
      </c>
      <c r="Y905" s="12">
        <f>IF(M905="","",X905-W905)</f>
        <v/>
      </c>
      <c r="Z905" s="12">
        <f>IF(M905="","",IF(M905&lt;0,N(Z904)+1,0))</f>
        <v/>
      </c>
    </row>
    <row r="906">
      <c r="H906" s="7" t="n"/>
      <c r="I906" s="7" t="n"/>
      <c r="J906" s="7" t="n"/>
      <c r="K906" s="7" t="n"/>
      <c r="M906" s="8" t="n"/>
      <c r="P906" s="9" t="n"/>
      <c r="Q906" s="10" t="n"/>
      <c r="R906" s="10" t="n"/>
      <c r="S906" s="11" t="n"/>
      <c r="U906" s="12">
        <f>IF(OR(H906="",I906=""),"",ROUND(Settings!$B$4/ABS(H906-I906),2))</f>
        <v/>
      </c>
      <c r="V906" s="13">
        <f>IF(M906="","",ROUND(M906*Settings!$B$4,2))</f>
        <v/>
      </c>
      <c r="W906" s="12">
        <f>IF(M906="","",SUM($M$2:M906))</f>
        <v/>
      </c>
      <c r="X906" s="12">
        <f>IF(M906="","",MAX(0,N(X905),W906))</f>
        <v/>
      </c>
      <c r="Y906" s="12">
        <f>IF(M906="","",X906-W906)</f>
        <v/>
      </c>
      <c r="Z906" s="12">
        <f>IF(M906="","",IF(M906&lt;0,N(Z905)+1,0))</f>
        <v/>
      </c>
    </row>
    <row r="907">
      <c r="H907" s="7" t="n"/>
      <c r="I907" s="7" t="n"/>
      <c r="J907" s="7" t="n"/>
      <c r="K907" s="7" t="n"/>
      <c r="M907" s="8" t="n"/>
      <c r="P907" s="9" t="n"/>
      <c r="Q907" s="10" t="n"/>
      <c r="R907" s="10" t="n"/>
      <c r="S907" s="11" t="n"/>
      <c r="U907" s="12">
        <f>IF(OR(H907="",I907=""),"",ROUND(Settings!$B$4/ABS(H907-I907),2))</f>
        <v/>
      </c>
      <c r="V907" s="13">
        <f>IF(M907="","",ROUND(M907*Settings!$B$4,2))</f>
        <v/>
      </c>
      <c r="W907" s="12">
        <f>IF(M907="","",SUM($M$2:M907))</f>
        <v/>
      </c>
      <c r="X907" s="12">
        <f>IF(M907="","",MAX(0,N(X906),W907))</f>
        <v/>
      </c>
      <c r="Y907" s="12">
        <f>IF(M907="","",X907-W907)</f>
        <v/>
      </c>
      <c r="Z907" s="12">
        <f>IF(M907="","",IF(M907&lt;0,N(Z906)+1,0))</f>
        <v/>
      </c>
    </row>
    <row r="908">
      <c r="H908" s="7" t="n"/>
      <c r="I908" s="7" t="n"/>
      <c r="J908" s="7" t="n"/>
      <c r="K908" s="7" t="n"/>
      <c r="M908" s="8" t="n"/>
      <c r="P908" s="9" t="n"/>
      <c r="Q908" s="10" t="n"/>
      <c r="R908" s="10" t="n"/>
      <c r="S908" s="11" t="n"/>
      <c r="U908" s="12">
        <f>IF(OR(H908="",I908=""),"",ROUND(Settings!$B$4/ABS(H908-I908),2))</f>
        <v/>
      </c>
      <c r="V908" s="13">
        <f>IF(M908="","",ROUND(M908*Settings!$B$4,2))</f>
        <v/>
      </c>
      <c r="W908" s="12">
        <f>IF(M908="","",SUM($M$2:M908))</f>
        <v/>
      </c>
      <c r="X908" s="12">
        <f>IF(M908="","",MAX(0,N(X907),W908))</f>
        <v/>
      </c>
      <c r="Y908" s="12">
        <f>IF(M908="","",X908-W908)</f>
        <v/>
      </c>
      <c r="Z908" s="12">
        <f>IF(M908="","",IF(M908&lt;0,N(Z907)+1,0))</f>
        <v/>
      </c>
    </row>
    <row r="909">
      <c r="H909" s="7" t="n"/>
      <c r="I909" s="7" t="n"/>
      <c r="J909" s="7" t="n"/>
      <c r="K909" s="7" t="n"/>
      <c r="M909" s="8" t="n"/>
      <c r="P909" s="9" t="n"/>
      <c r="Q909" s="10" t="n"/>
      <c r="R909" s="10" t="n"/>
      <c r="S909" s="11" t="n"/>
      <c r="U909" s="12">
        <f>IF(OR(H909="",I909=""),"",ROUND(Settings!$B$4/ABS(H909-I909),2))</f>
        <v/>
      </c>
      <c r="V909" s="13">
        <f>IF(M909="","",ROUND(M909*Settings!$B$4,2))</f>
        <v/>
      </c>
      <c r="W909" s="12">
        <f>IF(M909="","",SUM($M$2:M909))</f>
        <v/>
      </c>
      <c r="X909" s="12">
        <f>IF(M909="","",MAX(0,N(X908),W909))</f>
        <v/>
      </c>
      <c r="Y909" s="12">
        <f>IF(M909="","",X909-W909)</f>
        <v/>
      </c>
      <c r="Z909" s="12">
        <f>IF(M909="","",IF(M909&lt;0,N(Z908)+1,0))</f>
        <v/>
      </c>
    </row>
    <row r="910">
      <c r="H910" s="7" t="n"/>
      <c r="I910" s="7" t="n"/>
      <c r="J910" s="7" t="n"/>
      <c r="K910" s="7" t="n"/>
      <c r="M910" s="8" t="n"/>
      <c r="P910" s="9" t="n"/>
      <c r="Q910" s="10" t="n"/>
      <c r="R910" s="10" t="n"/>
      <c r="S910" s="11" t="n"/>
      <c r="U910" s="12">
        <f>IF(OR(H910="",I910=""),"",ROUND(Settings!$B$4/ABS(H910-I910),2))</f>
        <v/>
      </c>
      <c r="V910" s="13">
        <f>IF(M910="","",ROUND(M910*Settings!$B$4,2))</f>
        <v/>
      </c>
      <c r="W910" s="12">
        <f>IF(M910="","",SUM($M$2:M910))</f>
        <v/>
      </c>
      <c r="X910" s="12">
        <f>IF(M910="","",MAX(0,N(X909),W910))</f>
        <v/>
      </c>
      <c r="Y910" s="12">
        <f>IF(M910="","",X910-W910)</f>
        <v/>
      </c>
      <c r="Z910" s="12">
        <f>IF(M910="","",IF(M910&lt;0,N(Z909)+1,0))</f>
        <v/>
      </c>
    </row>
    <row r="911">
      <c r="H911" s="7" t="n"/>
      <c r="I911" s="7" t="n"/>
      <c r="J911" s="7" t="n"/>
      <c r="K911" s="7" t="n"/>
      <c r="M911" s="8" t="n"/>
      <c r="P911" s="9" t="n"/>
      <c r="Q911" s="10" t="n"/>
      <c r="R911" s="10" t="n"/>
      <c r="S911" s="11" t="n"/>
      <c r="U911" s="12">
        <f>IF(OR(H911="",I911=""),"",ROUND(Settings!$B$4/ABS(H911-I911),2))</f>
        <v/>
      </c>
      <c r="V911" s="13">
        <f>IF(M911="","",ROUND(M911*Settings!$B$4,2))</f>
        <v/>
      </c>
      <c r="W911" s="12">
        <f>IF(M911="","",SUM($M$2:M911))</f>
        <v/>
      </c>
      <c r="X911" s="12">
        <f>IF(M911="","",MAX(0,N(X910),W911))</f>
        <v/>
      </c>
      <c r="Y911" s="12">
        <f>IF(M911="","",X911-W911)</f>
        <v/>
      </c>
      <c r="Z911" s="12">
        <f>IF(M911="","",IF(M911&lt;0,N(Z910)+1,0))</f>
        <v/>
      </c>
    </row>
    <row r="912">
      <c r="H912" s="7" t="n"/>
      <c r="I912" s="7" t="n"/>
      <c r="J912" s="7" t="n"/>
      <c r="K912" s="7" t="n"/>
      <c r="M912" s="8" t="n"/>
      <c r="P912" s="9" t="n"/>
      <c r="Q912" s="10" t="n"/>
      <c r="R912" s="10" t="n"/>
      <c r="S912" s="11" t="n"/>
      <c r="U912" s="12">
        <f>IF(OR(H912="",I912=""),"",ROUND(Settings!$B$4/ABS(H912-I912),2))</f>
        <v/>
      </c>
      <c r="V912" s="13">
        <f>IF(M912="","",ROUND(M912*Settings!$B$4,2))</f>
        <v/>
      </c>
      <c r="W912" s="12">
        <f>IF(M912="","",SUM($M$2:M912))</f>
        <v/>
      </c>
      <c r="X912" s="12">
        <f>IF(M912="","",MAX(0,N(X911),W912))</f>
        <v/>
      </c>
      <c r="Y912" s="12">
        <f>IF(M912="","",X912-W912)</f>
        <v/>
      </c>
      <c r="Z912" s="12">
        <f>IF(M912="","",IF(M912&lt;0,N(Z911)+1,0))</f>
        <v/>
      </c>
    </row>
    <row r="913">
      <c r="H913" s="7" t="n"/>
      <c r="I913" s="7" t="n"/>
      <c r="J913" s="7" t="n"/>
      <c r="K913" s="7" t="n"/>
      <c r="M913" s="8" t="n"/>
      <c r="P913" s="9" t="n"/>
      <c r="Q913" s="10" t="n"/>
      <c r="R913" s="10" t="n"/>
      <c r="S913" s="11" t="n"/>
      <c r="U913" s="12">
        <f>IF(OR(H913="",I913=""),"",ROUND(Settings!$B$4/ABS(H913-I913),2))</f>
        <v/>
      </c>
      <c r="V913" s="13">
        <f>IF(M913="","",ROUND(M913*Settings!$B$4,2))</f>
        <v/>
      </c>
      <c r="W913" s="12">
        <f>IF(M913="","",SUM($M$2:M913))</f>
        <v/>
      </c>
      <c r="X913" s="12">
        <f>IF(M913="","",MAX(0,N(X912),W913))</f>
        <v/>
      </c>
      <c r="Y913" s="12">
        <f>IF(M913="","",X913-W913)</f>
        <v/>
      </c>
      <c r="Z913" s="12">
        <f>IF(M913="","",IF(M913&lt;0,N(Z912)+1,0))</f>
        <v/>
      </c>
    </row>
    <row r="914">
      <c r="H914" s="7" t="n"/>
      <c r="I914" s="7" t="n"/>
      <c r="J914" s="7" t="n"/>
      <c r="K914" s="7" t="n"/>
      <c r="M914" s="8" t="n"/>
      <c r="P914" s="9" t="n"/>
      <c r="Q914" s="10" t="n"/>
      <c r="R914" s="10" t="n"/>
      <c r="S914" s="11" t="n"/>
      <c r="U914" s="12">
        <f>IF(OR(H914="",I914=""),"",ROUND(Settings!$B$4/ABS(H914-I914),2))</f>
        <v/>
      </c>
      <c r="V914" s="13">
        <f>IF(M914="","",ROUND(M914*Settings!$B$4,2))</f>
        <v/>
      </c>
      <c r="W914" s="12">
        <f>IF(M914="","",SUM($M$2:M914))</f>
        <v/>
      </c>
      <c r="X914" s="12">
        <f>IF(M914="","",MAX(0,N(X913),W914))</f>
        <v/>
      </c>
      <c r="Y914" s="12">
        <f>IF(M914="","",X914-W914)</f>
        <v/>
      </c>
      <c r="Z914" s="12">
        <f>IF(M914="","",IF(M914&lt;0,N(Z913)+1,0))</f>
        <v/>
      </c>
    </row>
    <row r="915">
      <c r="H915" s="7" t="n"/>
      <c r="I915" s="7" t="n"/>
      <c r="J915" s="7" t="n"/>
      <c r="K915" s="7" t="n"/>
      <c r="M915" s="8" t="n"/>
      <c r="P915" s="9" t="n"/>
      <c r="Q915" s="10" t="n"/>
      <c r="R915" s="10" t="n"/>
      <c r="S915" s="11" t="n"/>
      <c r="U915" s="12">
        <f>IF(OR(H915="",I915=""),"",ROUND(Settings!$B$4/ABS(H915-I915),2))</f>
        <v/>
      </c>
      <c r="V915" s="13">
        <f>IF(M915="","",ROUND(M915*Settings!$B$4,2))</f>
        <v/>
      </c>
      <c r="W915" s="12">
        <f>IF(M915="","",SUM($M$2:M915))</f>
        <v/>
      </c>
      <c r="X915" s="12">
        <f>IF(M915="","",MAX(0,N(X914),W915))</f>
        <v/>
      </c>
      <c r="Y915" s="12">
        <f>IF(M915="","",X915-W915)</f>
        <v/>
      </c>
      <c r="Z915" s="12">
        <f>IF(M915="","",IF(M915&lt;0,N(Z914)+1,0))</f>
        <v/>
      </c>
    </row>
    <row r="916">
      <c r="H916" s="7" t="n"/>
      <c r="I916" s="7" t="n"/>
      <c r="J916" s="7" t="n"/>
      <c r="K916" s="7" t="n"/>
      <c r="M916" s="8" t="n"/>
      <c r="P916" s="9" t="n"/>
      <c r="Q916" s="10" t="n"/>
      <c r="R916" s="10" t="n"/>
      <c r="S916" s="11" t="n"/>
      <c r="U916" s="12">
        <f>IF(OR(H916="",I916=""),"",ROUND(Settings!$B$4/ABS(H916-I916),2))</f>
        <v/>
      </c>
      <c r="V916" s="13">
        <f>IF(M916="","",ROUND(M916*Settings!$B$4,2))</f>
        <v/>
      </c>
      <c r="W916" s="12">
        <f>IF(M916="","",SUM($M$2:M916))</f>
        <v/>
      </c>
      <c r="X916" s="12">
        <f>IF(M916="","",MAX(0,N(X915),W916))</f>
        <v/>
      </c>
      <c r="Y916" s="12">
        <f>IF(M916="","",X916-W916)</f>
        <v/>
      </c>
      <c r="Z916" s="12">
        <f>IF(M916="","",IF(M916&lt;0,N(Z915)+1,0))</f>
        <v/>
      </c>
    </row>
    <row r="917">
      <c r="H917" s="7" t="n"/>
      <c r="I917" s="7" t="n"/>
      <c r="J917" s="7" t="n"/>
      <c r="K917" s="7" t="n"/>
      <c r="M917" s="8" t="n"/>
      <c r="P917" s="9" t="n"/>
      <c r="Q917" s="10" t="n"/>
      <c r="R917" s="10" t="n"/>
      <c r="S917" s="11" t="n"/>
      <c r="U917" s="12">
        <f>IF(OR(H917="",I917=""),"",ROUND(Settings!$B$4/ABS(H917-I917),2))</f>
        <v/>
      </c>
      <c r="V917" s="13">
        <f>IF(M917="","",ROUND(M917*Settings!$B$4,2))</f>
        <v/>
      </c>
      <c r="W917" s="12">
        <f>IF(M917="","",SUM($M$2:M917))</f>
        <v/>
      </c>
      <c r="X917" s="12">
        <f>IF(M917="","",MAX(0,N(X916),W917))</f>
        <v/>
      </c>
      <c r="Y917" s="12">
        <f>IF(M917="","",X917-W917)</f>
        <v/>
      </c>
      <c r="Z917" s="12">
        <f>IF(M917="","",IF(M917&lt;0,N(Z916)+1,0))</f>
        <v/>
      </c>
    </row>
    <row r="918">
      <c r="H918" s="7" t="n"/>
      <c r="I918" s="7" t="n"/>
      <c r="J918" s="7" t="n"/>
      <c r="K918" s="7" t="n"/>
      <c r="M918" s="8" t="n"/>
      <c r="P918" s="9" t="n"/>
      <c r="Q918" s="10" t="n"/>
      <c r="R918" s="10" t="n"/>
      <c r="S918" s="11" t="n"/>
      <c r="U918" s="12">
        <f>IF(OR(H918="",I918=""),"",ROUND(Settings!$B$4/ABS(H918-I918),2))</f>
        <v/>
      </c>
      <c r="V918" s="13">
        <f>IF(M918="","",ROUND(M918*Settings!$B$4,2))</f>
        <v/>
      </c>
      <c r="W918" s="12">
        <f>IF(M918="","",SUM($M$2:M918))</f>
        <v/>
      </c>
      <c r="X918" s="12">
        <f>IF(M918="","",MAX(0,N(X917),W918))</f>
        <v/>
      </c>
      <c r="Y918" s="12">
        <f>IF(M918="","",X918-W918)</f>
        <v/>
      </c>
      <c r="Z918" s="12">
        <f>IF(M918="","",IF(M918&lt;0,N(Z917)+1,0))</f>
        <v/>
      </c>
    </row>
    <row r="919">
      <c r="H919" s="7" t="n"/>
      <c r="I919" s="7" t="n"/>
      <c r="J919" s="7" t="n"/>
      <c r="K919" s="7" t="n"/>
      <c r="M919" s="8" t="n"/>
      <c r="P919" s="9" t="n"/>
      <c r="Q919" s="10" t="n"/>
      <c r="R919" s="10" t="n"/>
      <c r="S919" s="11" t="n"/>
      <c r="U919" s="12">
        <f>IF(OR(H919="",I919=""),"",ROUND(Settings!$B$4/ABS(H919-I919),2))</f>
        <v/>
      </c>
      <c r="V919" s="13">
        <f>IF(M919="","",ROUND(M919*Settings!$B$4,2))</f>
        <v/>
      </c>
      <c r="W919" s="12">
        <f>IF(M919="","",SUM($M$2:M919))</f>
        <v/>
      </c>
      <c r="X919" s="12">
        <f>IF(M919="","",MAX(0,N(X918),W919))</f>
        <v/>
      </c>
      <c r="Y919" s="12">
        <f>IF(M919="","",X919-W919)</f>
        <v/>
      </c>
      <c r="Z919" s="12">
        <f>IF(M919="","",IF(M919&lt;0,N(Z918)+1,0))</f>
        <v/>
      </c>
    </row>
    <row r="920">
      <c r="H920" s="7" t="n"/>
      <c r="I920" s="7" t="n"/>
      <c r="J920" s="7" t="n"/>
      <c r="K920" s="7" t="n"/>
      <c r="M920" s="8" t="n"/>
      <c r="P920" s="9" t="n"/>
      <c r="Q920" s="10" t="n"/>
      <c r="R920" s="10" t="n"/>
      <c r="S920" s="11" t="n"/>
      <c r="U920" s="12">
        <f>IF(OR(H920="",I920=""),"",ROUND(Settings!$B$4/ABS(H920-I920),2))</f>
        <v/>
      </c>
      <c r="V920" s="13">
        <f>IF(M920="","",ROUND(M920*Settings!$B$4,2))</f>
        <v/>
      </c>
      <c r="W920" s="12">
        <f>IF(M920="","",SUM($M$2:M920))</f>
        <v/>
      </c>
      <c r="X920" s="12">
        <f>IF(M920="","",MAX(0,N(X919),W920))</f>
        <v/>
      </c>
      <c r="Y920" s="12">
        <f>IF(M920="","",X920-W920)</f>
        <v/>
      </c>
      <c r="Z920" s="12">
        <f>IF(M920="","",IF(M920&lt;0,N(Z919)+1,0))</f>
        <v/>
      </c>
    </row>
    <row r="921">
      <c r="H921" s="7" t="n"/>
      <c r="I921" s="7" t="n"/>
      <c r="J921" s="7" t="n"/>
      <c r="K921" s="7" t="n"/>
      <c r="M921" s="8" t="n"/>
      <c r="P921" s="9" t="n"/>
      <c r="Q921" s="10" t="n"/>
      <c r="R921" s="10" t="n"/>
      <c r="S921" s="11" t="n"/>
      <c r="U921" s="12">
        <f>IF(OR(H921="",I921=""),"",ROUND(Settings!$B$4/ABS(H921-I921),2))</f>
        <v/>
      </c>
      <c r="V921" s="13">
        <f>IF(M921="","",ROUND(M921*Settings!$B$4,2))</f>
        <v/>
      </c>
      <c r="W921" s="12">
        <f>IF(M921="","",SUM($M$2:M921))</f>
        <v/>
      </c>
      <c r="X921" s="12">
        <f>IF(M921="","",MAX(0,N(X920),W921))</f>
        <v/>
      </c>
      <c r="Y921" s="12">
        <f>IF(M921="","",X921-W921)</f>
        <v/>
      </c>
      <c r="Z921" s="12">
        <f>IF(M921="","",IF(M921&lt;0,N(Z920)+1,0))</f>
        <v/>
      </c>
    </row>
    <row r="922">
      <c r="H922" s="7" t="n"/>
      <c r="I922" s="7" t="n"/>
      <c r="J922" s="7" t="n"/>
      <c r="K922" s="7" t="n"/>
      <c r="M922" s="8" t="n"/>
      <c r="P922" s="9" t="n"/>
      <c r="Q922" s="10" t="n"/>
      <c r="R922" s="10" t="n"/>
      <c r="S922" s="11" t="n"/>
      <c r="U922" s="12">
        <f>IF(OR(H922="",I922=""),"",ROUND(Settings!$B$4/ABS(H922-I922),2))</f>
        <v/>
      </c>
      <c r="V922" s="13">
        <f>IF(M922="","",ROUND(M922*Settings!$B$4,2))</f>
        <v/>
      </c>
      <c r="W922" s="12">
        <f>IF(M922="","",SUM($M$2:M922))</f>
        <v/>
      </c>
      <c r="X922" s="12">
        <f>IF(M922="","",MAX(0,N(X921),W922))</f>
        <v/>
      </c>
      <c r="Y922" s="12">
        <f>IF(M922="","",X922-W922)</f>
        <v/>
      </c>
      <c r="Z922" s="12">
        <f>IF(M922="","",IF(M922&lt;0,N(Z921)+1,0))</f>
        <v/>
      </c>
    </row>
    <row r="923">
      <c r="H923" s="7" t="n"/>
      <c r="I923" s="7" t="n"/>
      <c r="J923" s="7" t="n"/>
      <c r="K923" s="7" t="n"/>
      <c r="M923" s="8" t="n"/>
      <c r="P923" s="9" t="n"/>
      <c r="Q923" s="10" t="n"/>
      <c r="R923" s="10" t="n"/>
      <c r="S923" s="11" t="n"/>
      <c r="U923" s="12">
        <f>IF(OR(H923="",I923=""),"",ROUND(Settings!$B$4/ABS(H923-I923),2))</f>
        <v/>
      </c>
      <c r="V923" s="13">
        <f>IF(M923="","",ROUND(M923*Settings!$B$4,2))</f>
        <v/>
      </c>
      <c r="W923" s="12">
        <f>IF(M923="","",SUM($M$2:M923))</f>
        <v/>
      </c>
      <c r="X923" s="12">
        <f>IF(M923="","",MAX(0,N(X922),W923))</f>
        <v/>
      </c>
      <c r="Y923" s="12">
        <f>IF(M923="","",X923-W923)</f>
        <v/>
      </c>
      <c r="Z923" s="12">
        <f>IF(M923="","",IF(M923&lt;0,N(Z922)+1,0))</f>
        <v/>
      </c>
    </row>
    <row r="924">
      <c r="H924" s="7" t="n"/>
      <c r="I924" s="7" t="n"/>
      <c r="J924" s="7" t="n"/>
      <c r="K924" s="7" t="n"/>
      <c r="M924" s="8" t="n"/>
      <c r="P924" s="9" t="n"/>
      <c r="Q924" s="10" t="n"/>
      <c r="R924" s="10" t="n"/>
      <c r="S924" s="11" t="n"/>
      <c r="U924" s="12">
        <f>IF(OR(H924="",I924=""),"",ROUND(Settings!$B$4/ABS(H924-I924),2))</f>
        <v/>
      </c>
      <c r="V924" s="13">
        <f>IF(M924="","",ROUND(M924*Settings!$B$4,2))</f>
        <v/>
      </c>
      <c r="W924" s="12">
        <f>IF(M924="","",SUM($M$2:M924))</f>
        <v/>
      </c>
      <c r="X924" s="12">
        <f>IF(M924="","",MAX(0,N(X923),W924))</f>
        <v/>
      </c>
      <c r="Y924" s="12">
        <f>IF(M924="","",X924-W924)</f>
        <v/>
      </c>
      <c r="Z924" s="12">
        <f>IF(M924="","",IF(M924&lt;0,N(Z923)+1,0))</f>
        <v/>
      </c>
    </row>
    <row r="925">
      <c r="H925" s="7" t="n"/>
      <c r="I925" s="7" t="n"/>
      <c r="J925" s="7" t="n"/>
      <c r="K925" s="7" t="n"/>
      <c r="M925" s="8" t="n"/>
      <c r="P925" s="9" t="n"/>
      <c r="Q925" s="10" t="n"/>
      <c r="R925" s="10" t="n"/>
      <c r="S925" s="11" t="n"/>
      <c r="U925" s="12">
        <f>IF(OR(H925="",I925=""),"",ROUND(Settings!$B$4/ABS(H925-I925),2))</f>
        <v/>
      </c>
      <c r="V925" s="13">
        <f>IF(M925="","",ROUND(M925*Settings!$B$4,2))</f>
        <v/>
      </c>
      <c r="W925" s="12">
        <f>IF(M925="","",SUM($M$2:M925))</f>
        <v/>
      </c>
      <c r="X925" s="12">
        <f>IF(M925="","",MAX(0,N(X924),W925))</f>
        <v/>
      </c>
      <c r="Y925" s="12">
        <f>IF(M925="","",X925-W925)</f>
        <v/>
      </c>
      <c r="Z925" s="12">
        <f>IF(M925="","",IF(M925&lt;0,N(Z924)+1,0))</f>
        <v/>
      </c>
    </row>
    <row r="926">
      <c r="H926" s="7" t="n"/>
      <c r="I926" s="7" t="n"/>
      <c r="J926" s="7" t="n"/>
      <c r="K926" s="7" t="n"/>
      <c r="M926" s="8" t="n"/>
      <c r="P926" s="9" t="n"/>
      <c r="Q926" s="10" t="n"/>
      <c r="R926" s="10" t="n"/>
      <c r="S926" s="11" t="n"/>
      <c r="U926" s="12">
        <f>IF(OR(H926="",I926=""),"",ROUND(Settings!$B$4/ABS(H926-I926),2))</f>
        <v/>
      </c>
      <c r="V926" s="13">
        <f>IF(M926="","",ROUND(M926*Settings!$B$4,2))</f>
        <v/>
      </c>
      <c r="W926" s="12">
        <f>IF(M926="","",SUM($M$2:M926))</f>
        <v/>
      </c>
      <c r="X926" s="12">
        <f>IF(M926="","",MAX(0,N(X925),W926))</f>
        <v/>
      </c>
      <c r="Y926" s="12">
        <f>IF(M926="","",X926-W926)</f>
        <v/>
      </c>
      <c r="Z926" s="12">
        <f>IF(M926="","",IF(M926&lt;0,N(Z925)+1,0))</f>
        <v/>
      </c>
    </row>
    <row r="927">
      <c r="H927" s="7" t="n"/>
      <c r="I927" s="7" t="n"/>
      <c r="J927" s="7" t="n"/>
      <c r="K927" s="7" t="n"/>
      <c r="M927" s="8" t="n"/>
      <c r="P927" s="9" t="n"/>
      <c r="Q927" s="10" t="n"/>
      <c r="R927" s="10" t="n"/>
      <c r="S927" s="11" t="n"/>
      <c r="U927" s="12">
        <f>IF(OR(H927="",I927=""),"",ROUND(Settings!$B$4/ABS(H927-I927),2))</f>
        <v/>
      </c>
      <c r="V927" s="13">
        <f>IF(M927="","",ROUND(M927*Settings!$B$4,2))</f>
        <v/>
      </c>
      <c r="W927" s="12">
        <f>IF(M927="","",SUM($M$2:M927))</f>
        <v/>
      </c>
      <c r="X927" s="12">
        <f>IF(M927="","",MAX(0,N(X926),W927))</f>
        <v/>
      </c>
      <c r="Y927" s="12">
        <f>IF(M927="","",X927-W927)</f>
        <v/>
      </c>
      <c r="Z927" s="12">
        <f>IF(M927="","",IF(M927&lt;0,N(Z926)+1,0))</f>
        <v/>
      </c>
    </row>
    <row r="928">
      <c r="H928" s="7" t="n"/>
      <c r="I928" s="7" t="n"/>
      <c r="J928" s="7" t="n"/>
      <c r="K928" s="7" t="n"/>
      <c r="M928" s="8" t="n"/>
      <c r="P928" s="9" t="n"/>
      <c r="Q928" s="10" t="n"/>
      <c r="R928" s="10" t="n"/>
      <c r="S928" s="11" t="n"/>
      <c r="U928" s="12">
        <f>IF(OR(H928="",I928=""),"",ROUND(Settings!$B$4/ABS(H928-I928),2))</f>
        <v/>
      </c>
      <c r="V928" s="13">
        <f>IF(M928="","",ROUND(M928*Settings!$B$4,2))</f>
        <v/>
      </c>
      <c r="W928" s="12">
        <f>IF(M928="","",SUM($M$2:M928))</f>
        <v/>
      </c>
      <c r="X928" s="12">
        <f>IF(M928="","",MAX(0,N(X927),W928))</f>
        <v/>
      </c>
      <c r="Y928" s="12">
        <f>IF(M928="","",X928-W928)</f>
        <v/>
      </c>
      <c r="Z928" s="12">
        <f>IF(M928="","",IF(M928&lt;0,N(Z927)+1,0))</f>
        <v/>
      </c>
    </row>
    <row r="929">
      <c r="H929" s="7" t="n"/>
      <c r="I929" s="7" t="n"/>
      <c r="J929" s="7" t="n"/>
      <c r="K929" s="7" t="n"/>
      <c r="M929" s="8" t="n"/>
      <c r="P929" s="9" t="n"/>
      <c r="Q929" s="10" t="n"/>
      <c r="R929" s="10" t="n"/>
      <c r="S929" s="11" t="n"/>
      <c r="U929" s="12">
        <f>IF(OR(H929="",I929=""),"",ROUND(Settings!$B$4/ABS(H929-I929),2))</f>
        <v/>
      </c>
      <c r="V929" s="13">
        <f>IF(M929="","",ROUND(M929*Settings!$B$4,2))</f>
        <v/>
      </c>
      <c r="W929" s="12">
        <f>IF(M929="","",SUM($M$2:M929))</f>
        <v/>
      </c>
      <c r="X929" s="12">
        <f>IF(M929="","",MAX(0,N(X928),W929))</f>
        <v/>
      </c>
      <c r="Y929" s="12">
        <f>IF(M929="","",X929-W929)</f>
        <v/>
      </c>
      <c r="Z929" s="12">
        <f>IF(M929="","",IF(M929&lt;0,N(Z928)+1,0))</f>
        <v/>
      </c>
    </row>
    <row r="930">
      <c r="H930" s="7" t="n"/>
      <c r="I930" s="7" t="n"/>
      <c r="J930" s="7" t="n"/>
      <c r="K930" s="7" t="n"/>
      <c r="M930" s="8" t="n"/>
      <c r="P930" s="9" t="n"/>
      <c r="Q930" s="10" t="n"/>
      <c r="R930" s="10" t="n"/>
      <c r="S930" s="11" t="n"/>
      <c r="U930" s="12">
        <f>IF(OR(H930="",I930=""),"",ROUND(Settings!$B$4/ABS(H930-I930),2))</f>
        <v/>
      </c>
      <c r="V930" s="13">
        <f>IF(M930="","",ROUND(M930*Settings!$B$4,2))</f>
        <v/>
      </c>
      <c r="W930" s="12">
        <f>IF(M930="","",SUM($M$2:M930))</f>
        <v/>
      </c>
      <c r="X930" s="12">
        <f>IF(M930="","",MAX(0,N(X929),W930))</f>
        <v/>
      </c>
      <c r="Y930" s="12">
        <f>IF(M930="","",X930-W930)</f>
        <v/>
      </c>
      <c r="Z930" s="12">
        <f>IF(M930="","",IF(M930&lt;0,N(Z929)+1,0))</f>
        <v/>
      </c>
    </row>
    <row r="931">
      <c r="H931" s="7" t="n"/>
      <c r="I931" s="7" t="n"/>
      <c r="J931" s="7" t="n"/>
      <c r="K931" s="7" t="n"/>
      <c r="M931" s="8" t="n"/>
      <c r="P931" s="9" t="n"/>
      <c r="Q931" s="10" t="n"/>
      <c r="R931" s="10" t="n"/>
      <c r="S931" s="11" t="n"/>
      <c r="U931" s="12">
        <f>IF(OR(H931="",I931=""),"",ROUND(Settings!$B$4/ABS(H931-I931),2))</f>
        <v/>
      </c>
      <c r="V931" s="13">
        <f>IF(M931="","",ROUND(M931*Settings!$B$4,2))</f>
        <v/>
      </c>
      <c r="W931" s="12">
        <f>IF(M931="","",SUM($M$2:M931))</f>
        <v/>
      </c>
      <c r="X931" s="12">
        <f>IF(M931="","",MAX(0,N(X930),W931))</f>
        <v/>
      </c>
      <c r="Y931" s="12">
        <f>IF(M931="","",X931-W931)</f>
        <v/>
      </c>
      <c r="Z931" s="12">
        <f>IF(M931="","",IF(M931&lt;0,N(Z930)+1,0))</f>
        <v/>
      </c>
    </row>
    <row r="932">
      <c r="H932" s="7" t="n"/>
      <c r="I932" s="7" t="n"/>
      <c r="J932" s="7" t="n"/>
      <c r="K932" s="7" t="n"/>
      <c r="M932" s="8" t="n"/>
      <c r="P932" s="9" t="n"/>
      <c r="Q932" s="10" t="n"/>
      <c r="R932" s="10" t="n"/>
      <c r="S932" s="11" t="n"/>
      <c r="U932" s="12">
        <f>IF(OR(H932="",I932=""),"",ROUND(Settings!$B$4/ABS(H932-I932),2))</f>
        <v/>
      </c>
      <c r="V932" s="13">
        <f>IF(M932="","",ROUND(M932*Settings!$B$4,2))</f>
        <v/>
      </c>
      <c r="W932" s="12">
        <f>IF(M932="","",SUM($M$2:M932))</f>
        <v/>
      </c>
      <c r="X932" s="12">
        <f>IF(M932="","",MAX(0,N(X931),W932))</f>
        <v/>
      </c>
      <c r="Y932" s="12">
        <f>IF(M932="","",X932-W932)</f>
        <v/>
      </c>
      <c r="Z932" s="12">
        <f>IF(M932="","",IF(M932&lt;0,N(Z931)+1,0))</f>
        <v/>
      </c>
    </row>
    <row r="933">
      <c r="H933" s="7" t="n"/>
      <c r="I933" s="7" t="n"/>
      <c r="J933" s="7" t="n"/>
      <c r="K933" s="7" t="n"/>
      <c r="M933" s="8" t="n"/>
      <c r="P933" s="9" t="n"/>
      <c r="Q933" s="10" t="n"/>
      <c r="R933" s="10" t="n"/>
      <c r="S933" s="11" t="n"/>
      <c r="U933" s="12">
        <f>IF(OR(H933="",I933=""),"",ROUND(Settings!$B$4/ABS(H933-I933),2))</f>
        <v/>
      </c>
      <c r="V933" s="13">
        <f>IF(M933="","",ROUND(M933*Settings!$B$4,2))</f>
        <v/>
      </c>
      <c r="W933" s="12">
        <f>IF(M933="","",SUM($M$2:M933))</f>
        <v/>
      </c>
      <c r="X933" s="12">
        <f>IF(M933="","",MAX(0,N(X932),W933))</f>
        <v/>
      </c>
      <c r="Y933" s="12">
        <f>IF(M933="","",X933-W933)</f>
        <v/>
      </c>
      <c r="Z933" s="12">
        <f>IF(M933="","",IF(M933&lt;0,N(Z932)+1,0))</f>
        <v/>
      </c>
    </row>
    <row r="934">
      <c r="H934" s="7" t="n"/>
      <c r="I934" s="7" t="n"/>
      <c r="J934" s="7" t="n"/>
      <c r="K934" s="7" t="n"/>
      <c r="M934" s="8" t="n"/>
      <c r="P934" s="9" t="n"/>
      <c r="Q934" s="10" t="n"/>
      <c r="R934" s="10" t="n"/>
      <c r="S934" s="11" t="n"/>
      <c r="U934" s="12">
        <f>IF(OR(H934="",I934=""),"",ROUND(Settings!$B$4/ABS(H934-I934),2))</f>
        <v/>
      </c>
      <c r="V934" s="13">
        <f>IF(M934="","",ROUND(M934*Settings!$B$4,2))</f>
        <v/>
      </c>
      <c r="W934" s="12">
        <f>IF(M934="","",SUM($M$2:M934))</f>
        <v/>
      </c>
      <c r="X934" s="12">
        <f>IF(M934="","",MAX(0,N(X933),W934))</f>
        <v/>
      </c>
      <c r="Y934" s="12">
        <f>IF(M934="","",X934-W934)</f>
        <v/>
      </c>
      <c r="Z934" s="12">
        <f>IF(M934="","",IF(M934&lt;0,N(Z933)+1,0))</f>
        <v/>
      </c>
    </row>
    <row r="935">
      <c r="H935" s="7" t="n"/>
      <c r="I935" s="7" t="n"/>
      <c r="J935" s="7" t="n"/>
      <c r="K935" s="7" t="n"/>
      <c r="M935" s="8" t="n"/>
      <c r="P935" s="9" t="n"/>
      <c r="Q935" s="10" t="n"/>
      <c r="R935" s="10" t="n"/>
      <c r="S935" s="11" t="n"/>
      <c r="U935" s="12">
        <f>IF(OR(H935="",I935=""),"",ROUND(Settings!$B$4/ABS(H935-I935),2))</f>
        <v/>
      </c>
      <c r="V935" s="13">
        <f>IF(M935="","",ROUND(M935*Settings!$B$4,2))</f>
        <v/>
      </c>
      <c r="W935" s="12">
        <f>IF(M935="","",SUM($M$2:M935))</f>
        <v/>
      </c>
      <c r="X935" s="12">
        <f>IF(M935="","",MAX(0,N(X934),W935))</f>
        <v/>
      </c>
      <c r="Y935" s="12">
        <f>IF(M935="","",X935-W935)</f>
        <v/>
      </c>
      <c r="Z935" s="12">
        <f>IF(M935="","",IF(M935&lt;0,N(Z934)+1,0))</f>
        <v/>
      </c>
    </row>
    <row r="936">
      <c r="H936" s="7" t="n"/>
      <c r="I936" s="7" t="n"/>
      <c r="J936" s="7" t="n"/>
      <c r="K936" s="7" t="n"/>
      <c r="M936" s="8" t="n"/>
      <c r="P936" s="9" t="n"/>
      <c r="Q936" s="10" t="n"/>
      <c r="R936" s="10" t="n"/>
      <c r="S936" s="11" t="n"/>
      <c r="U936" s="12">
        <f>IF(OR(H936="",I936=""),"",ROUND(Settings!$B$4/ABS(H936-I936),2))</f>
        <v/>
      </c>
      <c r="V936" s="13">
        <f>IF(M936="","",ROUND(M936*Settings!$B$4,2))</f>
        <v/>
      </c>
      <c r="W936" s="12">
        <f>IF(M936="","",SUM($M$2:M936))</f>
        <v/>
      </c>
      <c r="X936" s="12">
        <f>IF(M936="","",MAX(0,N(X935),W936))</f>
        <v/>
      </c>
      <c r="Y936" s="12">
        <f>IF(M936="","",X936-W936)</f>
        <v/>
      </c>
      <c r="Z936" s="12">
        <f>IF(M936="","",IF(M936&lt;0,N(Z935)+1,0))</f>
        <v/>
      </c>
    </row>
    <row r="937">
      <c r="H937" s="7" t="n"/>
      <c r="I937" s="7" t="n"/>
      <c r="J937" s="7" t="n"/>
      <c r="K937" s="7" t="n"/>
      <c r="M937" s="8" t="n"/>
      <c r="P937" s="9" t="n"/>
      <c r="Q937" s="10" t="n"/>
      <c r="R937" s="10" t="n"/>
      <c r="S937" s="11" t="n"/>
      <c r="U937" s="12">
        <f>IF(OR(H937="",I937=""),"",ROUND(Settings!$B$4/ABS(H937-I937),2))</f>
        <v/>
      </c>
      <c r="V937" s="13">
        <f>IF(M937="","",ROUND(M937*Settings!$B$4,2))</f>
        <v/>
      </c>
      <c r="W937" s="12">
        <f>IF(M937="","",SUM($M$2:M937))</f>
        <v/>
      </c>
      <c r="X937" s="12">
        <f>IF(M937="","",MAX(0,N(X936),W937))</f>
        <v/>
      </c>
      <c r="Y937" s="12">
        <f>IF(M937="","",X937-W937)</f>
        <v/>
      </c>
      <c r="Z937" s="12">
        <f>IF(M937="","",IF(M937&lt;0,N(Z936)+1,0))</f>
        <v/>
      </c>
    </row>
    <row r="938">
      <c r="H938" s="7" t="n"/>
      <c r="I938" s="7" t="n"/>
      <c r="J938" s="7" t="n"/>
      <c r="K938" s="7" t="n"/>
      <c r="M938" s="8" t="n"/>
      <c r="P938" s="9" t="n"/>
      <c r="Q938" s="10" t="n"/>
      <c r="R938" s="10" t="n"/>
      <c r="S938" s="11" t="n"/>
      <c r="U938" s="12">
        <f>IF(OR(H938="",I938=""),"",ROUND(Settings!$B$4/ABS(H938-I938),2))</f>
        <v/>
      </c>
      <c r="V938" s="13">
        <f>IF(M938="","",ROUND(M938*Settings!$B$4,2))</f>
        <v/>
      </c>
      <c r="W938" s="12">
        <f>IF(M938="","",SUM($M$2:M938))</f>
        <v/>
      </c>
      <c r="X938" s="12">
        <f>IF(M938="","",MAX(0,N(X937),W938))</f>
        <v/>
      </c>
      <c r="Y938" s="12">
        <f>IF(M938="","",X938-W938)</f>
        <v/>
      </c>
      <c r="Z938" s="12">
        <f>IF(M938="","",IF(M938&lt;0,N(Z937)+1,0))</f>
        <v/>
      </c>
    </row>
    <row r="939">
      <c r="H939" s="7" t="n"/>
      <c r="I939" s="7" t="n"/>
      <c r="J939" s="7" t="n"/>
      <c r="K939" s="7" t="n"/>
      <c r="M939" s="8" t="n"/>
      <c r="P939" s="9" t="n"/>
      <c r="Q939" s="10" t="n"/>
      <c r="R939" s="10" t="n"/>
      <c r="S939" s="11" t="n"/>
      <c r="U939" s="12">
        <f>IF(OR(H939="",I939=""),"",ROUND(Settings!$B$4/ABS(H939-I939),2))</f>
        <v/>
      </c>
      <c r="V939" s="13">
        <f>IF(M939="","",ROUND(M939*Settings!$B$4,2))</f>
        <v/>
      </c>
      <c r="W939" s="12">
        <f>IF(M939="","",SUM($M$2:M939))</f>
        <v/>
      </c>
      <c r="X939" s="12">
        <f>IF(M939="","",MAX(0,N(X938),W939))</f>
        <v/>
      </c>
      <c r="Y939" s="12">
        <f>IF(M939="","",X939-W939)</f>
        <v/>
      </c>
      <c r="Z939" s="12">
        <f>IF(M939="","",IF(M939&lt;0,N(Z938)+1,0))</f>
        <v/>
      </c>
    </row>
    <row r="940">
      <c r="H940" s="7" t="n"/>
      <c r="I940" s="7" t="n"/>
      <c r="J940" s="7" t="n"/>
      <c r="K940" s="7" t="n"/>
      <c r="M940" s="8" t="n"/>
      <c r="P940" s="9" t="n"/>
      <c r="Q940" s="10" t="n"/>
      <c r="R940" s="10" t="n"/>
      <c r="S940" s="11" t="n"/>
      <c r="U940" s="12">
        <f>IF(OR(H940="",I940=""),"",ROUND(Settings!$B$4/ABS(H940-I940),2))</f>
        <v/>
      </c>
      <c r="V940" s="13">
        <f>IF(M940="","",ROUND(M940*Settings!$B$4,2))</f>
        <v/>
      </c>
      <c r="W940" s="12">
        <f>IF(M940="","",SUM($M$2:M940))</f>
        <v/>
      </c>
      <c r="X940" s="12">
        <f>IF(M940="","",MAX(0,N(X939),W940))</f>
        <v/>
      </c>
      <c r="Y940" s="12">
        <f>IF(M940="","",X940-W940)</f>
        <v/>
      </c>
      <c r="Z940" s="12">
        <f>IF(M940="","",IF(M940&lt;0,N(Z939)+1,0))</f>
        <v/>
      </c>
    </row>
    <row r="941">
      <c r="H941" s="7" t="n"/>
      <c r="I941" s="7" t="n"/>
      <c r="J941" s="7" t="n"/>
      <c r="K941" s="7" t="n"/>
      <c r="M941" s="8" t="n"/>
      <c r="P941" s="9" t="n"/>
      <c r="Q941" s="10" t="n"/>
      <c r="R941" s="10" t="n"/>
      <c r="S941" s="11" t="n"/>
      <c r="U941" s="12">
        <f>IF(OR(H941="",I941=""),"",ROUND(Settings!$B$4/ABS(H941-I941),2))</f>
        <v/>
      </c>
      <c r="V941" s="13">
        <f>IF(M941="","",ROUND(M941*Settings!$B$4,2))</f>
        <v/>
      </c>
      <c r="W941" s="12">
        <f>IF(M941="","",SUM($M$2:M941))</f>
        <v/>
      </c>
      <c r="X941" s="12">
        <f>IF(M941="","",MAX(0,N(X940),W941))</f>
        <v/>
      </c>
      <c r="Y941" s="12">
        <f>IF(M941="","",X941-W941)</f>
        <v/>
      </c>
      <c r="Z941" s="12">
        <f>IF(M941="","",IF(M941&lt;0,N(Z940)+1,0))</f>
        <v/>
      </c>
    </row>
    <row r="942">
      <c r="H942" s="7" t="n"/>
      <c r="I942" s="7" t="n"/>
      <c r="J942" s="7" t="n"/>
      <c r="K942" s="7" t="n"/>
      <c r="M942" s="8" t="n"/>
      <c r="P942" s="9" t="n"/>
      <c r="Q942" s="10" t="n"/>
      <c r="R942" s="10" t="n"/>
      <c r="S942" s="11" t="n"/>
      <c r="U942" s="12">
        <f>IF(OR(H942="",I942=""),"",ROUND(Settings!$B$4/ABS(H942-I942),2))</f>
        <v/>
      </c>
      <c r="V942" s="13">
        <f>IF(M942="","",ROUND(M942*Settings!$B$4,2))</f>
        <v/>
      </c>
      <c r="W942" s="12">
        <f>IF(M942="","",SUM($M$2:M942))</f>
        <v/>
      </c>
      <c r="X942" s="12">
        <f>IF(M942="","",MAX(0,N(X941),W942))</f>
        <v/>
      </c>
      <c r="Y942" s="12">
        <f>IF(M942="","",X942-W942)</f>
        <v/>
      </c>
      <c r="Z942" s="12">
        <f>IF(M942="","",IF(M942&lt;0,N(Z941)+1,0))</f>
        <v/>
      </c>
    </row>
    <row r="943">
      <c r="H943" s="7" t="n"/>
      <c r="I943" s="7" t="n"/>
      <c r="J943" s="7" t="n"/>
      <c r="K943" s="7" t="n"/>
      <c r="M943" s="8" t="n"/>
      <c r="P943" s="9" t="n"/>
      <c r="Q943" s="10" t="n"/>
      <c r="R943" s="10" t="n"/>
      <c r="S943" s="11" t="n"/>
      <c r="U943" s="12">
        <f>IF(OR(H943="",I943=""),"",ROUND(Settings!$B$4/ABS(H943-I943),2))</f>
        <v/>
      </c>
      <c r="V943" s="13">
        <f>IF(M943="","",ROUND(M943*Settings!$B$4,2))</f>
        <v/>
      </c>
      <c r="W943" s="12">
        <f>IF(M943="","",SUM($M$2:M943))</f>
        <v/>
      </c>
      <c r="X943" s="12">
        <f>IF(M943="","",MAX(0,N(X942),W943))</f>
        <v/>
      </c>
      <c r="Y943" s="12">
        <f>IF(M943="","",X943-W943)</f>
        <v/>
      </c>
      <c r="Z943" s="12">
        <f>IF(M943="","",IF(M943&lt;0,N(Z942)+1,0))</f>
        <v/>
      </c>
    </row>
    <row r="944">
      <c r="H944" s="7" t="n"/>
      <c r="I944" s="7" t="n"/>
      <c r="J944" s="7" t="n"/>
      <c r="K944" s="7" t="n"/>
      <c r="M944" s="8" t="n"/>
      <c r="P944" s="9" t="n"/>
      <c r="Q944" s="10" t="n"/>
      <c r="R944" s="10" t="n"/>
      <c r="S944" s="11" t="n"/>
      <c r="U944" s="12">
        <f>IF(OR(H944="",I944=""),"",ROUND(Settings!$B$4/ABS(H944-I944),2))</f>
        <v/>
      </c>
      <c r="V944" s="13">
        <f>IF(M944="","",ROUND(M944*Settings!$B$4,2))</f>
        <v/>
      </c>
      <c r="W944" s="12">
        <f>IF(M944="","",SUM($M$2:M944))</f>
        <v/>
      </c>
      <c r="X944" s="12">
        <f>IF(M944="","",MAX(0,N(X943),W944))</f>
        <v/>
      </c>
      <c r="Y944" s="12">
        <f>IF(M944="","",X944-W944)</f>
        <v/>
      </c>
      <c r="Z944" s="12">
        <f>IF(M944="","",IF(M944&lt;0,N(Z943)+1,0))</f>
        <v/>
      </c>
    </row>
    <row r="945">
      <c r="H945" s="7" t="n"/>
      <c r="I945" s="7" t="n"/>
      <c r="J945" s="7" t="n"/>
      <c r="K945" s="7" t="n"/>
      <c r="M945" s="8" t="n"/>
      <c r="P945" s="9" t="n"/>
      <c r="Q945" s="10" t="n"/>
      <c r="R945" s="10" t="n"/>
      <c r="S945" s="11" t="n"/>
      <c r="U945" s="12">
        <f>IF(OR(H945="",I945=""),"",ROUND(Settings!$B$4/ABS(H945-I945),2))</f>
        <v/>
      </c>
      <c r="V945" s="13">
        <f>IF(M945="","",ROUND(M945*Settings!$B$4,2))</f>
        <v/>
      </c>
      <c r="W945" s="12">
        <f>IF(M945="","",SUM($M$2:M945))</f>
        <v/>
      </c>
      <c r="X945" s="12">
        <f>IF(M945="","",MAX(0,N(X944),W945))</f>
        <v/>
      </c>
      <c r="Y945" s="12">
        <f>IF(M945="","",X945-W945)</f>
        <v/>
      </c>
      <c r="Z945" s="12">
        <f>IF(M945="","",IF(M945&lt;0,N(Z944)+1,0))</f>
        <v/>
      </c>
    </row>
    <row r="946">
      <c r="H946" s="7" t="n"/>
      <c r="I946" s="7" t="n"/>
      <c r="J946" s="7" t="n"/>
      <c r="K946" s="7" t="n"/>
      <c r="M946" s="8" t="n"/>
      <c r="P946" s="9" t="n"/>
      <c r="Q946" s="10" t="n"/>
      <c r="R946" s="10" t="n"/>
      <c r="S946" s="11" t="n"/>
      <c r="U946" s="12">
        <f>IF(OR(H946="",I946=""),"",ROUND(Settings!$B$4/ABS(H946-I946),2))</f>
        <v/>
      </c>
      <c r="V946" s="13">
        <f>IF(M946="","",ROUND(M946*Settings!$B$4,2))</f>
        <v/>
      </c>
      <c r="W946" s="12">
        <f>IF(M946="","",SUM($M$2:M946))</f>
        <v/>
      </c>
      <c r="X946" s="12">
        <f>IF(M946="","",MAX(0,N(X945),W946))</f>
        <v/>
      </c>
      <c r="Y946" s="12">
        <f>IF(M946="","",X946-W946)</f>
        <v/>
      </c>
      <c r="Z946" s="12">
        <f>IF(M946="","",IF(M946&lt;0,N(Z945)+1,0))</f>
        <v/>
      </c>
    </row>
    <row r="947">
      <c r="H947" s="7" t="n"/>
      <c r="I947" s="7" t="n"/>
      <c r="J947" s="7" t="n"/>
      <c r="K947" s="7" t="n"/>
      <c r="M947" s="8" t="n"/>
      <c r="P947" s="9" t="n"/>
      <c r="Q947" s="10" t="n"/>
      <c r="R947" s="10" t="n"/>
      <c r="S947" s="11" t="n"/>
      <c r="U947" s="12">
        <f>IF(OR(H947="",I947=""),"",ROUND(Settings!$B$4/ABS(H947-I947),2))</f>
        <v/>
      </c>
      <c r="V947" s="13">
        <f>IF(M947="","",ROUND(M947*Settings!$B$4,2))</f>
        <v/>
      </c>
      <c r="W947" s="12">
        <f>IF(M947="","",SUM($M$2:M947))</f>
        <v/>
      </c>
      <c r="X947" s="12">
        <f>IF(M947="","",MAX(0,N(X946),W947))</f>
        <v/>
      </c>
      <c r="Y947" s="12">
        <f>IF(M947="","",X947-W947)</f>
        <v/>
      </c>
      <c r="Z947" s="12">
        <f>IF(M947="","",IF(M947&lt;0,N(Z946)+1,0))</f>
        <v/>
      </c>
    </row>
    <row r="948">
      <c r="H948" s="7" t="n"/>
      <c r="I948" s="7" t="n"/>
      <c r="J948" s="7" t="n"/>
      <c r="K948" s="7" t="n"/>
      <c r="M948" s="8" t="n"/>
      <c r="P948" s="9" t="n"/>
      <c r="Q948" s="10" t="n"/>
      <c r="R948" s="10" t="n"/>
      <c r="S948" s="11" t="n"/>
      <c r="U948" s="12">
        <f>IF(OR(H948="",I948=""),"",ROUND(Settings!$B$4/ABS(H948-I948),2))</f>
        <v/>
      </c>
      <c r="V948" s="13">
        <f>IF(M948="","",ROUND(M948*Settings!$B$4,2))</f>
        <v/>
      </c>
      <c r="W948" s="12">
        <f>IF(M948="","",SUM($M$2:M948))</f>
        <v/>
      </c>
      <c r="X948" s="12">
        <f>IF(M948="","",MAX(0,N(X947),W948))</f>
        <v/>
      </c>
      <c r="Y948" s="12">
        <f>IF(M948="","",X948-W948)</f>
        <v/>
      </c>
      <c r="Z948" s="12">
        <f>IF(M948="","",IF(M948&lt;0,N(Z947)+1,0))</f>
        <v/>
      </c>
    </row>
    <row r="949">
      <c r="H949" s="7" t="n"/>
      <c r="I949" s="7" t="n"/>
      <c r="J949" s="7" t="n"/>
      <c r="K949" s="7" t="n"/>
      <c r="M949" s="8" t="n"/>
      <c r="P949" s="9" t="n"/>
      <c r="Q949" s="10" t="n"/>
      <c r="R949" s="10" t="n"/>
      <c r="S949" s="11" t="n"/>
      <c r="U949" s="12">
        <f>IF(OR(H949="",I949=""),"",ROUND(Settings!$B$4/ABS(H949-I949),2))</f>
        <v/>
      </c>
      <c r="V949" s="13">
        <f>IF(M949="","",ROUND(M949*Settings!$B$4,2))</f>
        <v/>
      </c>
      <c r="W949" s="12">
        <f>IF(M949="","",SUM($M$2:M949))</f>
        <v/>
      </c>
      <c r="X949" s="12">
        <f>IF(M949="","",MAX(0,N(X948),W949))</f>
        <v/>
      </c>
      <c r="Y949" s="12">
        <f>IF(M949="","",X949-W949)</f>
        <v/>
      </c>
      <c r="Z949" s="12">
        <f>IF(M949="","",IF(M949&lt;0,N(Z948)+1,0))</f>
        <v/>
      </c>
    </row>
    <row r="950">
      <c r="H950" s="7" t="n"/>
      <c r="I950" s="7" t="n"/>
      <c r="J950" s="7" t="n"/>
      <c r="K950" s="7" t="n"/>
      <c r="M950" s="8" t="n"/>
      <c r="P950" s="9" t="n"/>
      <c r="Q950" s="10" t="n"/>
      <c r="R950" s="10" t="n"/>
      <c r="S950" s="11" t="n"/>
      <c r="U950" s="12">
        <f>IF(OR(H950="",I950=""),"",ROUND(Settings!$B$4/ABS(H950-I950),2))</f>
        <v/>
      </c>
      <c r="V950" s="13">
        <f>IF(M950="","",ROUND(M950*Settings!$B$4,2))</f>
        <v/>
      </c>
      <c r="W950" s="12">
        <f>IF(M950="","",SUM($M$2:M950))</f>
        <v/>
      </c>
      <c r="X950" s="12">
        <f>IF(M950="","",MAX(0,N(X949),W950))</f>
        <v/>
      </c>
      <c r="Y950" s="12">
        <f>IF(M950="","",X950-W950)</f>
        <v/>
      </c>
      <c r="Z950" s="12">
        <f>IF(M950="","",IF(M950&lt;0,N(Z949)+1,0))</f>
        <v/>
      </c>
    </row>
    <row r="951">
      <c r="H951" s="7" t="n"/>
      <c r="I951" s="7" t="n"/>
      <c r="J951" s="7" t="n"/>
      <c r="K951" s="7" t="n"/>
      <c r="M951" s="8" t="n"/>
      <c r="P951" s="9" t="n"/>
      <c r="Q951" s="10" t="n"/>
      <c r="R951" s="10" t="n"/>
      <c r="S951" s="11" t="n"/>
      <c r="U951" s="12">
        <f>IF(OR(H951="",I951=""),"",ROUND(Settings!$B$4/ABS(H951-I951),2))</f>
        <v/>
      </c>
      <c r="V951" s="13">
        <f>IF(M951="","",ROUND(M951*Settings!$B$4,2))</f>
        <v/>
      </c>
      <c r="W951" s="12">
        <f>IF(M951="","",SUM($M$2:M951))</f>
        <v/>
      </c>
      <c r="X951" s="12">
        <f>IF(M951="","",MAX(0,N(X950),W951))</f>
        <v/>
      </c>
      <c r="Y951" s="12">
        <f>IF(M951="","",X951-W951)</f>
        <v/>
      </c>
      <c r="Z951" s="12">
        <f>IF(M951="","",IF(M951&lt;0,N(Z950)+1,0))</f>
        <v/>
      </c>
    </row>
    <row r="952">
      <c r="H952" s="7" t="n"/>
      <c r="I952" s="7" t="n"/>
      <c r="J952" s="7" t="n"/>
      <c r="K952" s="7" t="n"/>
      <c r="M952" s="8" t="n"/>
      <c r="P952" s="9" t="n"/>
      <c r="Q952" s="10" t="n"/>
      <c r="R952" s="10" t="n"/>
      <c r="S952" s="11" t="n"/>
      <c r="U952" s="12">
        <f>IF(OR(H952="",I952=""),"",ROUND(Settings!$B$4/ABS(H952-I952),2))</f>
        <v/>
      </c>
      <c r="V952" s="13">
        <f>IF(M952="","",ROUND(M952*Settings!$B$4,2))</f>
        <v/>
      </c>
      <c r="W952" s="12">
        <f>IF(M952="","",SUM($M$2:M952))</f>
        <v/>
      </c>
      <c r="X952" s="12">
        <f>IF(M952="","",MAX(0,N(X951),W952))</f>
        <v/>
      </c>
      <c r="Y952" s="12">
        <f>IF(M952="","",X952-W952)</f>
        <v/>
      </c>
      <c r="Z952" s="12">
        <f>IF(M952="","",IF(M952&lt;0,N(Z951)+1,0))</f>
        <v/>
      </c>
    </row>
    <row r="953">
      <c r="H953" s="7" t="n"/>
      <c r="I953" s="7" t="n"/>
      <c r="J953" s="7" t="n"/>
      <c r="K953" s="7" t="n"/>
      <c r="M953" s="8" t="n"/>
      <c r="P953" s="9" t="n"/>
      <c r="Q953" s="10" t="n"/>
      <c r="R953" s="10" t="n"/>
      <c r="S953" s="11" t="n"/>
      <c r="U953" s="12">
        <f>IF(OR(H953="",I953=""),"",ROUND(Settings!$B$4/ABS(H953-I953),2))</f>
        <v/>
      </c>
      <c r="V953" s="13">
        <f>IF(M953="","",ROUND(M953*Settings!$B$4,2))</f>
        <v/>
      </c>
      <c r="W953" s="12">
        <f>IF(M953="","",SUM($M$2:M953))</f>
        <v/>
      </c>
      <c r="X953" s="12">
        <f>IF(M953="","",MAX(0,N(X952),W953))</f>
        <v/>
      </c>
      <c r="Y953" s="12">
        <f>IF(M953="","",X953-W953)</f>
        <v/>
      </c>
      <c r="Z953" s="12">
        <f>IF(M953="","",IF(M953&lt;0,N(Z952)+1,0))</f>
        <v/>
      </c>
    </row>
    <row r="954">
      <c r="H954" s="7" t="n"/>
      <c r="I954" s="7" t="n"/>
      <c r="J954" s="7" t="n"/>
      <c r="K954" s="7" t="n"/>
      <c r="M954" s="8" t="n"/>
      <c r="P954" s="9" t="n"/>
      <c r="Q954" s="10" t="n"/>
      <c r="R954" s="10" t="n"/>
      <c r="S954" s="11" t="n"/>
      <c r="U954" s="12">
        <f>IF(OR(H954="",I954=""),"",ROUND(Settings!$B$4/ABS(H954-I954),2))</f>
        <v/>
      </c>
      <c r="V954" s="13">
        <f>IF(M954="","",ROUND(M954*Settings!$B$4,2))</f>
        <v/>
      </c>
      <c r="W954" s="12">
        <f>IF(M954="","",SUM($M$2:M954))</f>
        <v/>
      </c>
      <c r="X954" s="12">
        <f>IF(M954="","",MAX(0,N(X953),W954))</f>
        <v/>
      </c>
      <c r="Y954" s="12">
        <f>IF(M954="","",X954-W954)</f>
        <v/>
      </c>
      <c r="Z954" s="12">
        <f>IF(M954="","",IF(M954&lt;0,N(Z953)+1,0))</f>
        <v/>
      </c>
    </row>
    <row r="955">
      <c r="H955" s="7" t="n"/>
      <c r="I955" s="7" t="n"/>
      <c r="J955" s="7" t="n"/>
      <c r="K955" s="7" t="n"/>
      <c r="M955" s="8" t="n"/>
      <c r="P955" s="9" t="n"/>
      <c r="Q955" s="10" t="n"/>
      <c r="R955" s="10" t="n"/>
      <c r="S955" s="11" t="n"/>
      <c r="U955" s="12">
        <f>IF(OR(H955="",I955=""),"",ROUND(Settings!$B$4/ABS(H955-I955),2))</f>
        <v/>
      </c>
      <c r="V955" s="13">
        <f>IF(M955="","",ROUND(M955*Settings!$B$4,2))</f>
        <v/>
      </c>
      <c r="W955" s="12">
        <f>IF(M955="","",SUM($M$2:M955))</f>
        <v/>
      </c>
      <c r="X955" s="12">
        <f>IF(M955="","",MAX(0,N(X954),W955))</f>
        <v/>
      </c>
      <c r="Y955" s="12">
        <f>IF(M955="","",X955-W955)</f>
        <v/>
      </c>
      <c r="Z955" s="12">
        <f>IF(M955="","",IF(M955&lt;0,N(Z954)+1,0))</f>
        <v/>
      </c>
    </row>
    <row r="956">
      <c r="H956" s="7" t="n"/>
      <c r="I956" s="7" t="n"/>
      <c r="J956" s="7" t="n"/>
      <c r="K956" s="7" t="n"/>
      <c r="M956" s="8" t="n"/>
      <c r="P956" s="9" t="n"/>
      <c r="Q956" s="10" t="n"/>
      <c r="R956" s="10" t="n"/>
      <c r="S956" s="11" t="n"/>
      <c r="U956" s="12">
        <f>IF(OR(H956="",I956=""),"",ROUND(Settings!$B$4/ABS(H956-I956),2))</f>
        <v/>
      </c>
      <c r="V956" s="13">
        <f>IF(M956="","",ROUND(M956*Settings!$B$4,2))</f>
        <v/>
      </c>
      <c r="W956" s="12">
        <f>IF(M956="","",SUM($M$2:M956))</f>
        <v/>
      </c>
      <c r="X956" s="12">
        <f>IF(M956="","",MAX(0,N(X955),W956))</f>
        <v/>
      </c>
      <c r="Y956" s="12">
        <f>IF(M956="","",X956-W956)</f>
        <v/>
      </c>
      <c r="Z956" s="12">
        <f>IF(M956="","",IF(M956&lt;0,N(Z955)+1,0))</f>
        <v/>
      </c>
    </row>
    <row r="957">
      <c r="H957" s="7" t="n"/>
      <c r="I957" s="7" t="n"/>
      <c r="J957" s="7" t="n"/>
      <c r="K957" s="7" t="n"/>
      <c r="M957" s="8" t="n"/>
      <c r="P957" s="9" t="n"/>
      <c r="Q957" s="10" t="n"/>
      <c r="R957" s="10" t="n"/>
      <c r="S957" s="11" t="n"/>
      <c r="U957" s="12">
        <f>IF(OR(H957="",I957=""),"",ROUND(Settings!$B$4/ABS(H957-I957),2))</f>
        <v/>
      </c>
      <c r="V957" s="13">
        <f>IF(M957="","",ROUND(M957*Settings!$B$4,2))</f>
        <v/>
      </c>
      <c r="W957" s="12">
        <f>IF(M957="","",SUM($M$2:M957))</f>
        <v/>
      </c>
      <c r="X957" s="12">
        <f>IF(M957="","",MAX(0,N(X956),W957))</f>
        <v/>
      </c>
      <c r="Y957" s="12">
        <f>IF(M957="","",X957-W957)</f>
        <v/>
      </c>
      <c r="Z957" s="12">
        <f>IF(M957="","",IF(M957&lt;0,N(Z956)+1,0))</f>
        <v/>
      </c>
    </row>
    <row r="958">
      <c r="H958" s="7" t="n"/>
      <c r="I958" s="7" t="n"/>
      <c r="J958" s="7" t="n"/>
      <c r="K958" s="7" t="n"/>
      <c r="M958" s="8" t="n"/>
      <c r="P958" s="9" t="n"/>
      <c r="Q958" s="10" t="n"/>
      <c r="R958" s="10" t="n"/>
      <c r="S958" s="11" t="n"/>
      <c r="U958" s="12">
        <f>IF(OR(H958="",I958=""),"",ROUND(Settings!$B$4/ABS(H958-I958),2))</f>
        <v/>
      </c>
      <c r="V958" s="13">
        <f>IF(M958="","",ROUND(M958*Settings!$B$4,2))</f>
        <v/>
      </c>
      <c r="W958" s="12">
        <f>IF(M958="","",SUM($M$2:M958))</f>
        <v/>
      </c>
      <c r="X958" s="12">
        <f>IF(M958="","",MAX(0,N(X957),W958))</f>
        <v/>
      </c>
      <c r="Y958" s="12">
        <f>IF(M958="","",X958-W958)</f>
        <v/>
      </c>
      <c r="Z958" s="12">
        <f>IF(M958="","",IF(M958&lt;0,N(Z957)+1,0))</f>
        <v/>
      </c>
    </row>
    <row r="959">
      <c r="H959" s="7" t="n"/>
      <c r="I959" s="7" t="n"/>
      <c r="J959" s="7" t="n"/>
      <c r="K959" s="7" t="n"/>
      <c r="M959" s="8" t="n"/>
      <c r="P959" s="9" t="n"/>
      <c r="Q959" s="10" t="n"/>
      <c r="R959" s="10" t="n"/>
      <c r="S959" s="11" t="n"/>
      <c r="U959" s="12">
        <f>IF(OR(H959="",I959=""),"",ROUND(Settings!$B$4/ABS(H959-I959),2))</f>
        <v/>
      </c>
      <c r="V959" s="13">
        <f>IF(M959="","",ROUND(M959*Settings!$B$4,2))</f>
        <v/>
      </c>
      <c r="W959" s="12">
        <f>IF(M959="","",SUM($M$2:M959))</f>
        <v/>
      </c>
      <c r="X959" s="12">
        <f>IF(M959="","",MAX(0,N(X958),W959))</f>
        <v/>
      </c>
      <c r="Y959" s="12">
        <f>IF(M959="","",X959-W959)</f>
        <v/>
      </c>
      <c r="Z959" s="12">
        <f>IF(M959="","",IF(M959&lt;0,N(Z958)+1,0))</f>
        <v/>
      </c>
    </row>
    <row r="960">
      <c r="H960" s="7" t="n"/>
      <c r="I960" s="7" t="n"/>
      <c r="J960" s="7" t="n"/>
      <c r="K960" s="7" t="n"/>
      <c r="M960" s="8" t="n"/>
      <c r="P960" s="9" t="n"/>
      <c r="Q960" s="10" t="n"/>
      <c r="R960" s="10" t="n"/>
      <c r="S960" s="11" t="n"/>
      <c r="U960" s="12">
        <f>IF(OR(H960="",I960=""),"",ROUND(Settings!$B$4/ABS(H960-I960),2))</f>
        <v/>
      </c>
      <c r="V960" s="13">
        <f>IF(M960="","",ROUND(M960*Settings!$B$4,2))</f>
        <v/>
      </c>
      <c r="W960" s="12">
        <f>IF(M960="","",SUM($M$2:M960))</f>
        <v/>
      </c>
      <c r="X960" s="12">
        <f>IF(M960="","",MAX(0,N(X959),W960))</f>
        <v/>
      </c>
      <c r="Y960" s="12">
        <f>IF(M960="","",X960-W960)</f>
        <v/>
      </c>
      <c r="Z960" s="12">
        <f>IF(M960="","",IF(M960&lt;0,N(Z959)+1,0))</f>
        <v/>
      </c>
    </row>
    <row r="961">
      <c r="H961" s="7" t="n"/>
      <c r="I961" s="7" t="n"/>
      <c r="J961" s="7" t="n"/>
      <c r="K961" s="7" t="n"/>
      <c r="M961" s="8" t="n"/>
      <c r="P961" s="9" t="n"/>
      <c r="Q961" s="10" t="n"/>
      <c r="R961" s="10" t="n"/>
      <c r="S961" s="11" t="n"/>
      <c r="U961" s="12">
        <f>IF(OR(H961="",I961=""),"",ROUND(Settings!$B$4/ABS(H961-I961),2))</f>
        <v/>
      </c>
      <c r="V961" s="13">
        <f>IF(M961="","",ROUND(M961*Settings!$B$4,2))</f>
        <v/>
      </c>
      <c r="W961" s="12">
        <f>IF(M961="","",SUM($M$2:M961))</f>
        <v/>
      </c>
      <c r="X961" s="12">
        <f>IF(M961="","",MAX(0,N(X960),W961))</f>
        <v/>
      </c>
      <c r="Y961" s="12">
        <f>IF(M961="","",X961-W961)</f>
        <v/>
      </c>
      <c r="Z961" s="12">
        <f>IF(M961="","",IF(M961&lt;0,N(Z960)+1,0))</f>
        <v/>
      </c>
    </row>
    <row r="962">
      <c r="H962" s="7" t="n"/>
      <c r="I962" s="7" t="n"/>
      <c r="J962" s="7" t="n"/>
      <c r="K962" s="7" t="n"/>
      <c r="M962" s="8" t="n"/>
      <c r="P962" s="9" t="n"/>
      <c r="Q962" s="10" t="n"/>
      <c r="R962" s="10" t="n"/>
      <c r="S962" s="11" t="n"/>
      <c r="U962" s="12">
        <f>IF(OR(H962="",I962=""),"",ROUND(Settings!$B$4/ABS(H962-I962),2))</f>
        <v/>
      </c>
      <c r="V962" s="13">
        <f>IF(M962="","",ROUND(M962*Settings!$B$4,2))</f>
        <v/>
      </c>
      <c r="W962" s="12">
        <f>IF(M962="","",SUM($M$2:M962))</f>
        <v/>
      </c>
      <c r="X962" s="12">
        <f>IF(M962="","",MAX(0,N(X961),W962))</f>
        <v/>
      </c>
      <c r="Y962" s="12">
        <f>IF(M962="","",X962-W962)</f>
        <v/>
      </c>
      <c r="Z962" s="12">
        <f>IF(M962="","",IF(M962&lt;0,N(Z961)+1,0))</f>
        <v/>
      </c>
    </row>
    <row r="963">
      <c r="H963" s="7" t="n"/>
      <c r="I963" s="7" t="n"/>
      <c r="J963" s="7" t="n"/>
      <c r="K963" s="7" t="n"/>
      <c r="M963" s="8" t="n"/>
      <c r="P963" s="9" t="n"/>
      <c r="Q963" s="10" t="n"/>
      <c r="R963" s="10" t="n"/>
      <c r="S963" s="11" t="n"/>
      <c r="U963" s="12">
        <f>IF(OR(H963="",I963=""),"",ROUND(Settings!$B$4/ABS(H963-I963),2))</f>
        <v/>
      </c>
      <c r="V963" s="13">
        <f>IF(M963="","",ROUND(M963*Settings!$B$4,2))</f>
        <v/>
      </c>
      <c r="W963" s="12">
        <f>IF(M963="","",SUM($M$2:M963))</f>
        <v/>
      </c>
      <c r="X963" s="12">
        <f>IF(M963="","",MAX(0,N(X962),W963))</f>
        <v/>
      </c>
      <c r="Y963" s="12">
        <f>IF(M963="","",X963-W963)</f>
        <v/>
      </c>
      <c r="Z963" s="12">
        <f>IF(M963="","",IF(M963&lt;0,N(Z962)+1,0))</f>
        <v/>
      </c>
    </row>
    <row r="964">
      <c r="H964" s="7" t="n"/>
      <c r="I964" s="7" t="n"/>
      <c r="J964" s="7" t="n"/>
      <c r="K964" s="7" t="n"/>
      <c r="M964" s="8" t="n"/>
      <c r="P964" s="9" t="n"/>
      <c r="Q964" s="10" t="n"/>
      <c r="R964" s="10" t="n"/>
      <c r="S964" s="11" t="n"/>
      <c r="U964" s="12">
        <f>IF(OR(H964="",I964=""),"",ROUND(Settings!$B$4/ABS(H964-I964),2))</f>
        <v/>
      </c>
      <c r="V964" s="13">
        <f>IF(M964="","",ROUND(M964*Settings!$B$4,2))</f>
        <v/>
      </c>
      <c r="W964" s="12">
        <f>IF(M964="","",SUM($M$2:M964))</f>
        <v/>
      </c>
      <c r="X964" s="12">
        <f>IF(M964="","",MAX(0,N(X963),W964))</f>
        <v/>
      </c>
      <c r="Y964" s="12">
        <f>IF(M964="","",X964-W964)</f>
        <v/>
      </c>
      <c r="Z964" s="12">
        <f>IF(M964="","",IF(M964&lt;0,N(Z963)+1,0))</f>
        <v/>
      </c>
    </row>
    <row r="965">
      <c r="H965" s="7" t="n"/>
      <c r="I965" s="7" t="n"/>
      <c r="J965" s="7" t="n"/>
      <c r="K965" s="7" t="n"/>
      <c r="M965" s="8" t="n"/>
      <c r="P965" s="9" t="n"/>
      <c r="Q965" s="10" t="n"/>
      <c r="R965" s="10" t="n"/>
      <c r="S965" s="11" t="n"/>
      <c r="U965" s="12">
        <f>IF(OR(H965="",I965=""),"",ROUND(Settings!$B$4/ABS(H965-I965),2))</f>
        <v/>
      </c>
      <c r="V965" s="13">
        <f>IF(M965="","",ROUND(M965*Settings!$B$4,2))</f>
        <v/>
      </c>
      <c r="W965" s="12">
        <f>IF(M965="","",SUM($M$2:M965))</f>
        <v/>
      </c>
      <c r="X965" s="12">
        <f>IF(M965="","",MAX(0,N(X964),W965))</f>
        <v/>
      </c>
      <c r="Y965" s="12">
        <f>IF(M965="","",X965-W965)</f>
        <v/>
      </c>
      <c r="Z965" s="12">
        <f>IF(M965="","",IF(M965&lt;0,N(Z964)+1,0))</f>
        <v/>
      </c>
    </row>
    <row r="966">
      <c r="H966" s="7" t="n"/>
      <c r="I966" s="7" t="n"/>
      <c r="J966" s="7" t="n"/>
      <c r="K966" s="7" t="n"/>
      <c r="M966" s="8" t="n"/>
      <c r="P966" s="9" t="n"/>
      <c r="Q966" s="10" t="n"/>
      <c r="R966" s="10" t="n"/>
      <c r="S966" s="11" t="n"/>
      <c r="U966" s="12">
        <f>IF(OR(H966="",I966=""),"",ROUND(Settings!$B$4/ABS(H966-I966),2))</f>
        <v/>
      </c>
      <c r="V966" s="13">
        <f>IF(M966="","",ROUND(M966*Settings!$B$4,2))</f>
        <v/>
      </c>
      <c r="W966" s="12">
        <f>IF(M966="","",SUM($M$2:M966))</f>
        <v/>
      </c>
      <c r="X966" s="12">
        <f>IF(M966="","",MAX(0,N(X965),W966))</f>
        <v/>
      </c>
      <c r="Y966" s="12">
        <f>IF(M966="","",X966-W966)</f>
        <v/>
      </c>
      <c r="Z966" s="12">
        <f>IF(M966="","",IF(M966&lt;0,N(Z965)+1,0))</f>
        <v/>
      </c>
    </row>
    <row r="967">
      <c r="H967" s="7" t="n"/>
      <c r="I967" s="7" t="n"/>
      <c r="J967" s="7" t="n"/>
      <c r="K967" s="7" t="n"/>
      <c r="M967" s="8" t="n"/>
      <c r="P967" s="9" t="n"/>
      <c r="Q967" s="10" t="n"/>
      <c r="R967" s="10" t="n"/>
      <c r="S967" s="11" t="n"/>
      <c r="U967" s="12">
        <f>IF(OR(H967="",I967=""),"",ROUND(Settings!$B$4/ABS(H967-I967),2))</f>
        <v/>
      </c>
      <c r="V967" s="13">
        <f>IF(M967="","",ROUND(M967*Settings!$B$4,2))</f>
        <v/>
      </c>
      <c r="W967" s="12">
        <f>IF(M967="","",SUM($M$2:M967))</f>
        <v/>
      </c>
      <c r="X967" s="12">
        <f>IF(M967="","",MAX(0,N(X966),W967))</f>
        <v/>
      </c>
      <c r="Y967" s="12">
        <f>IF(M967="","",X967-W967)</f>
        <v/>
      </c>
      <c r="Z967" s="12">
        <f>IF(M967="","",IF(M967&lt;0,N(Z966)+1,0))</f>
        <v/>
      </c>
    </row>
    <row r="968">
      <c r="H968" s="7" t="n"/>
      <c r="I968" s="7" t="n"/>
      <c r="J968" s="7" t="n"/>
      <c r="K968" s="7" t="n"/>
      <c r="M968" s="8" t="n"/>
      <c r="P968" s="9" t="n"/>
      <c r="Q968" s="10" t="n"/>
      <c r="R968" s="10" t="n"/>
      <c r="S968" s="11" t="n"/>
      <c r="U968" s="12">
        <f>IF(OR(H968="",I968=""),"",ROUND(Settings!$B$4/ABS(H968-I968),2))</f>
        <v/>
      </c>
      <c r="V968" s="13">
        <f>IF(M968="","",ROUND(M968*Settings!$B$4,2))</f>
        <v/>
      </c>
      <c r="W968" s="12">
        <f>IF(M968="","",SUM($M$2:M968))</f>
        <v/>
      </c>
      <c r="X968" s="12">
        <f>IF(M968="","",MAX(0,N(X967),W968))</f>
        <v/>
      </c>
      <c r="Y968" s="12">
        <f>IF(M968="","",X968-W968)</f>
        <v/>
      </c>
      <c r="Z968" s="12">
        <f>IF(M968="","",IF(M968&lt;0,N(Z967)+1,0))</f>
        <v/>
      </c>
    </row>
    <row r="969">
      <c r="H969" s="7" t="n"/>
      <c r="I969" s="7" t="n"/>
      <c r="J969" s="7" t="n"/>
      <c r="K969" s="7" t="n"/>
      <c r="M969" s="8" t="n"/>
      <c r="P969" s="9" t="n"/>
      <c r="Q969" s="10" t="n"/>
      <c r="R969" s="10" t="n"/>
      <c r="S969" s="11" t="n"/>
      <c r="U969" s="12">
        <f>IF(OR(H969="",I969=""),"",ROUND(Settings!$B$4/ABS(H969-I969),2))</f>
        <v/>
      </c>
      <c r="V969" s="13">
        <f>IF(M969="","",ROUND(M969*Settings!$B$4,2))</f>
        <v/>
      </c>
      <c r="W969" s="12">
        <f>IF(M969="","",SUM($M$2:M969))</f>
        <v/>
      </c>
      <c r="X969" s="12">
        <f>IF(M969="","",MAX(0,N(X968),W969))</f>
        <v/>
      </c>
      <c r="Y969" s="12">
        <f>IF(M969="","",X969-W969)</f>
        <v/>
      </c>
      <c r="Z969" s="12">
        <f>IF(M969="","",IF(M969&lt;0,N(Z968)+1,0))</f>
        <v/>
      </c>
    </row>
    <row r="970">
      <c r="H970" s="7" t="n"/>
      <c r="I970" s="7" t="n"/>
      <c r="J970" s="7" t="n"/>
      <c r="K970" s="7" t="n"/>
      <c r="M970" s="8" t="n"/>
      <c r="P970" s="9" t="n"/>
      <c r="Q970" s="10" t="n"/>
      <c r="R970" s="10" t="n"/>
      <c r="S970" s="11" t="n"/>
      <c r="U970" s="12">
        <f>IF(OR(H970="",I970=""),"",ROUND(Settings!$B$4/ABS(H970-I970),2))</f>
        <v/>
      </c>
      <c r="V970" s="13">
        <f>IF(M970="","",ROUND(M970*Settings!$B$4,2))</f>
        <v/>
      </c>
      <c r="W970" s="12">
        <f>IF(M970="","",SUM($M$2:M970))</f>
        <v/>
      </c>
      <c r="X970" s="12">
        <f>IF(M970="","",MAX(0,N(X969),W970))</f>
        <v/>
      </c>
      <c r="Y970" s="12">
        <f>IF(M970="","",X970-W970)</f>
        <v/>
      </c>
      <c r="Z970" s="12">
        <f>IF(M970="","",IF(M970&lt;0,N(Z969)+1,0))</f>
        <v/>
      </c>
    </row>
    <row r="971">
      <c r="H971" s="7" t="n"/>
      <c r="I971" s="7" t="n"/>
      <c r="J971" s="7" t="n"/>
      <c r="K971" s="7" t="n"/>
      <c r="M971" s="8" t="n"/>
      <c r="P971" s="9" t="n"/>
      <c r="Q971" s="10" t="n"/>
      <c r="R971" s="10" t="n"/>
      <c r="S971" s="11" t="n"/>
      <c r="U971" s="12">
        <f>IF(OR(H971="",I971=""),"",ROUND(Settings!$B$4/ABS(H971-I971),2))</f>
        <v/>
      </c>
      <c r="V971" s="13">
        <f>IF(M971="","",ROUND(M971*Settings!$B$4,2))</f>
        <v/>
      </c>
      <c r="W971" s="12">
        <f>IF(M971="","",SUM($M$2:M971))</f>
        <v/>
      </c>
      <c r="X971" s="12">
        <f>IF(M971="","",MAX(0,N(X970),W971))</f>
        <v/>
      </c>
      <c r="Y971" s="12">
        <f>IF(M971="","",X971-W971)</f>
        <v/>
      </c>
      <c r="Z971" s="12">
        <f>IF(M971="","",IF(M971&lt;0,N(Z970)+1,0))</f>
        <v/>
      </c>
    </row>
    <row r="972">
      <c r="H972" s="7" t="n"/>
      <c r="I972" s="7" t="n"/>
      <c r="J972" s="7" t="n"/>
      <c r="K972" s="7" t="n"/>
      <c r="M972" s="8" t="n"/>
      <c r="P972" s="9" t="n"/>
      <c r="Q972" s="10" t="n"/>
      <c r="R972" s="10" t="n"/>
      <c r="S972" s="11" t="n"/>
      <c r="U972" s="12">
        <f>IF(OR(H972="",I972=""),"",ROUND(Settings!$B$4/ABS(H972-I972),2))</f>
        <v/>
      </c>
      <c r="V972" s="13">
        <f>IF(M972="","",ROUND(M972*Settings!$B$4,2))</f>
        <v/>
      </c>
      <c r="W972" s="12">
        <f>IF(M972="","",SUM($M$2:M972))</f>
        <v/>
      </c>
      <c r="X972" s="12">
        <f>IF(M972="","",MAX(0,N(X971),W972))</f>
        <v/>
      </c>
      <c r="Y972" s="12">
        <f>IF(M972="","",X972-W972)</f>
        <v/>
      </c>
      <c r="Z972" s="12">
        <f>IF(M972="","",IF(M972&lt;0,N(Z971)+1,0))</f>
        <v/>
      </c>
    </row>
    <row r="973">
      <c r="H973" s="7" t="n"/>
      <c r="I973" s="7" t="n"/>
      <c r="J973" s="7" t="n"/>
      <c r="K973" s="7" t="n"/>
      <c r="M973" s="8" t="n"/>
      <c r="P973" s="9" t="n"/>
      <c r="Q973" s="10" t="n"/>
      <c r="R973" s="10" t="n"/>
      <c r="S973" s="11" t="n"/>
      <c r="U973" s="12">
        <f>IF(OR(H973="",I973=""),"",ROUND(Settings!$B$4/ABS(H973-I973),2))</f>
        <v/>
      </c>
      <c r="V973" s="13">
        <f>IF(M973="","",ROUND(M973*Settings!$B$4,2))</f>
        <v/>
      </c>
      <c r="W973" s="12">
        <f>IF(M973="","",SUM($M$2:M973))</f>
        <v/>
      </c>
      <c r="X973" s="12">
        <f>IF(M973="","",MAX(0,N(X972),W973))</f>
        <v/>
      </c>
      <c r="Y973" s="12">
        <f>IF(M973="","",X973-W973)</f>
        <v/>
      </c>
      <c r="Z973" s="12">
        <f>IF(M973="","",IF(M973&lt;0,N(Z972)+1,0))</f>
        <v/>
      </c>
    </row>
    <row r="974">
      <c r="H974" s="7" t="n"/>
      <c r="I974" s="7" t="n"/>
      <c r="J974" s="7" t="n"/>
      <c r="K974" s="7" t="n"/>
      <c r="M974" s="8" t="n"/>
      <c r="P974" s="9" t="n"/>
      <c r="Q974" s="10" t="n"/>
      <c r="R974" s="10" t="n"/>
      <c r="S974" s="11" t="n"/>
      <c r="U974" s="12">
        <f>IF(OR(H974="",I974=""),"",ROUND(Settings!$B$4/ABS(H974-I974),2))</f>
        <v/>
      </c>
      <c r="V974" s="13">
        <f>IF(M974="","",ROUND(M974*Settings!$B$4,2))</f>
        <v/>
      </c>
      <c r="W974" s="12">
        <f>IF(M974="","",SUM($M$2:M974))</f>
        <v/>
      </c>
      <c r="X974" s="12">
        <f>IF(M974="","",MAX(0,N(X973),W974))</f>
        <v/>
      </c>
      <c r="Y974" s="12">
        <f>IF(M974="","",X974-W974)</f>
        <v/>
      </c>
      <c r="Z974" s="12">
        <f>IF(M974="","",IF(M974&lt;0,N(Z973)+1,0))</f>
        <v/>
      </c>
    </row>
    <row r="975">
      <c r="H975" s="7" t="n"/>
      <c r="I975" s="7" t="n"/>
      <c r="J975" s="7" t="n"/>
      <c r="K975" s="7" t="n"/>
      <c r="M975" s="8" t="n"/>
      <c r="P975" s="9" t="n"/>
      <c r="Q975" s="10" t="n"/>
      <c r="R975" s="10" t="n"/>
      <c r="S975" s="11" t="n"/>
      <c r="U975" s="12">
        <f>IF(OR(H975="",I975=""),"",ROUND(Settings!$B$4/ABS(H975-I975),2))</f>
        <v/>
      </c>
      <c r="V975" s="13">
        <f>IF(M975="","",ROUND(M975*Settings!$B$4,2))</f>
        <v/>
      </c>
      <c r="W975" s="12">
        <f>IF(M975="","",SUM($M$2:M975))</f>
        <v/>
      </c>
      <c r="X975" s="12">
        <f>IF(M975="","",MAX(0,N(X974),W975))</f>
        <v/>
      </c>
      <c r="Y975" s="12">
        <f>IF(M975="","",X975-W975)</f>
        <v/>
      </c>
      <c r="Z975" s="12">
        <f>IF(M975="","",IF(M975&lt;0,N(Z974)+1,0))</f>
        <v/>
      </c>
    </row>
    <row r="976">
      <c r="H976" s="7" t="n"/>
      <c r="I976" s="7" t="n"/>
      <c r="J976" s="7" t="n"/>
      <c r="K976" s="7" t="n"/>
      <c r="M976" s="8" t="n"/>
      <c r="P976" s="9" t="n"/>
      <c r="Q976" s="10" t="n"/>
      <c r="R976" s="10" t="n"/>
      <c r="S976" s="11" t="n"/>
      <c r="U976" s="12">
        <f>IF(OR(H976="",I976=""),"",ROUND(Settings!$B$4/ABS(H976-I976),2))</f>
        <v/>
      </c>
      <c r="V976" s="13">
        <f>IF(M976="","",ROUND(M976*Settings!$B$4,2))</f>
        <v/>
      </c>
      <c r="W976" s="12">
        <f>IF(M976="","",SUM($M$2:M976))</f>
        <v/>
      </c>
      <c r="X976" s="12">
        <f>IF(M976="","",MAX(0,N(X975),W976))</f>
        <v/>
      </c>
      <c r="Y976" s="12">
        <f>IF(M976="","",X976-W976)</f>
        <v/>
      </c>
      <c r="Z976" s="12">
        <f>IF(M976="","",IF(M976&lt;0,N(Z975)+1,0))</f>
        <v/>
      </c>
    </row>
    <row r="977">
      <c r="H977" s="7" t="n"/>
      <c r="I977" s="7" t="n"/>
      <c r="J977" s="7" t="n"/>
      <c r="K977" s="7" t="n"/>
      <c r="M977" s="8" t="n"/>
      <c r="P977" s="9" t="n"/>
      <c r="Q977" s="10" t="n"/>
      <c r="R977" s="10" t="n"/>
      <c r="S977" s="11" t="n"/>
      <c r="U977" s="12">
        <f>IF(OR(H977="",I977=""),"",ROUND(Settings!$B$4/ABS(H977-I977),2))</f>
        <v/>
      </c>
      <c r="V977" s="13">
        <f>IF(M977="","",ROUND(M977*Settings!$B$4,2))</f>
        <v/>
      </c>
      <c r="W977" s="12">
        <f>IF(M977="","",SUM($M$2:M977))</f>
        <v/>
      </c>
      <c r="X977" s="12">
        <f>IF(M977="","",MAX(0,N(X976),W977))</f>
        <v/>
      </c>
      <c r="Y977" s="12">
        <f>IF(M977="","",X977-W977)</f>
        <v/>
      </c>
      <c r="Z977" s="12">
        <f>IF(M977="","",IF(M977&lt;0,N(Z976)+1,0))</f>
        <v/>
      </c>
    </row>
    <row r="978">
      <c r="H978" s="7" t="n"/>
      <c r="I978" s="7" t="n"/>
      <c r="J978" s="7" t="n"/>
      <c r="K978" s="7" t="n"/>
      <c r="M978" s="8" t="n"/>
      <c r="P978" s="9" t="n"/>
      <c r="Q978" s="10" t="n"/>
      <c r="R978" s="10" t="n"/>
      <c r="S978" s="11" t="n"/>
      <c r="U978" s="12">
        <f>IF(OR(H978="",I978=""),"",ROUND(Settings!$B$4/ABS(H978-I978),2))</f>
        <v/>
      </c>
      <c r="V978" s="13">
        <f>IF(M978="","",ROUND(M978*Settings!$B$4,2))</f>
        <v/>
      </c>
      <c r="W978" s="12">
        <f>IF(M978="","",SUM($M$2:M978))</f>
        <v/>
      </c>
      <c r="X978" s="12">
        <f>IF(M978="","",MAX(0,N(X977),W978))</f>
        <v/>
      </c>
      <c r="Y978" s="12">
        <f>IF(M978="","",X978-W978)</f>
        <v/>
      </c>
      <c r="Z978" s="12">
        <f>IF(M978="","",IF(M978&lt;0,N(Z977)+1,0))</f>
        <v/>
      </c>
    </row>
    <row r="979">
      <c r="H979" s="7" t="n"/>
      <c r="I979" s="7" t="n"/>
      <c r="J979" s="7" t="n"/>
      <c r="K979" s="7" t="n"/>
      <c r="M979" s="8" t="n"/>
      <c r="P979" s="9" t="n"/>
      <c r="Q979" s="10" t="n"/>
      <c r="R979" s="10" t="n"/>
      <c r="S979" s="11" t="n"/>
      <c r="U979" s="12">
        <f>IF(OR(H979="",I979=""),"",ROUND(Settings!$B$4/ABS(H979-I979),2))</f>
        <v/>
      </c>
      <c r="V979" s="13">
        <f>IF(M979="","",ROUND(M979*Settings!$B$4,2))</f>
        <v/>
      </c>
      <c r="W979" s="12">
        <f>IF(M979="","",SUM($M$2:M979))</f>
        <v/>
      </c>
      <c r="X979" s="12">
        <f>IF(M979="","",MAX(0,N(X978),W979))</f>
        <v/>
      </c>
      <c r="Y979" s="12">
        <f>IF(M979="","",X979-W979)</f>
        <v/>
      </c>
      <c r="Z979" s="12">
        <f>IF(M979="","",IF(M979&lt;0,N(Z978)+1,0))</f>
        <v/>
      </c>
    </row>
    <row r="980">
      <c r="H980" s="7" t="n"/>
      <c r="I980" s="7" t="n"/>
      <c r="J980" s="7" t="n"/>
      <c r="K980" s="7" t="n"/>
      <c r="M980" s="8" t="n"/>
      <c r="P980" s="9" t="n"/>
      <c r="Q980" s="10" t="n"/>
      <c r="R980" s="10" t="n"/>
      <c r="S980" s="11" t="n"/>
      <c r="U980" s="12">
        <f>IF(OR(H980="",I980=""),"",ROUND(Settings!$B$4/ABS(H980-I980),2))</f>
        <v/>
      </c>
      <c r="V980" s="13">
        <f>IF(M980="","",ROUND(M980*Settings!$B$4,2))</f>
        <v/>
      </c>
      <c r="W980" s="12">
        <f>IF(M980="","",SUM($M$2:M980))</f>
        <v/>
      </c>
      <c r="X980" s="12">
        <f>IF(M980="","",MAX(0,N(X979),W980))</f>
        <v/>
      </c>
      <c r="Y980" s="12">
        <f>IF(M980="","",X980-W980)</f>
        <v/>
      </c>
      <c r="Z980" s="12">
        <f>IF(M980="","",IF(M980&lt;0,N(Z979)+1,0))</f>
        <v/>
      </c>
    </row>
    <row r="981">
      <c r="H981" s="7" t="n"/>
      <c r="I981" s="7" t="n"/>
      <c r="J981" s="7" t="n"/>
      <c r="K981" s="7" t="n"/>
      <c r="M981" s="8" t="n"/>
      <c r="P981" s="9" t="n"/>
      <c r="Q981" s="10" t="n"/>
      <c r="R981" s="10" t="n"/>
      <c r="S981" s="11" t="n"/>
      <c r="U981" s="12">
        <f>IF(OR(H981="",I981=""),"",ROUND(Settings!$B$4/ABS(H981-I981),2))</f>
        <v/>
      </c>
      <c r="V981" s="13">
        <f>IF(M981="","",ROUND(M981*Settings!$B$4,2))</f>
        <v/>
      </c>
      <c r="W981" s="12">
        <f>IF(M981="","",SUM($M$2:M981))</f>
        <v/>
      </c>
      <c r="X981" s="12">
        <f>IF(M981="","",MAX(0,N(X980),W981))</f>
        <v/>
      </c>
      <c r="Y981" s="12">
        <f>IF(M981="","",X981-W981)</f>
        <v/>
      </c>
      <c r="Z981" s="12">
        <f>IF(M981="","",IF(M981&lt;0,N(Z980)+1,0))</f>
        <v/>
      </c>
    </row>
    <row r="982">
      <c r="H982" s="7" t="n"/>
      <c r="I982" s="7" t="n"/>
      <c r="J982" s="7" t="n"/>
      <c r="K982" s="7" t="n"/>
      <c r="M982" s="8" t="n"/>
      <c r="P982" s="9" t="n"/>
      <c r="Q982" s="10" t="n"/>
      <c r="R982" s="10" t="n"/>
      <c r="S982" s="11" t="n"/>
      <c r="U982" s="12">
        <f>IF(OR(H982="",I982=""),"",ROUND(Settings!$B$4/ABS(H982-I982),2))</f>
        <v/>
      </c>
      <c r="V982" s="13">
        <f>IF(M982="","",ROUND(M982*Settings!$B$4,2))</f>
        <v/>
      </c>
      <c r="W982" s="12">
        <f>IF(M982="","",SUM($M$2:M982))</f>
        <v/>
      </c>
      <c r="X982" s="12">
        <f>IF(M982="","",MAX(0,N(X981),W982))</f>
        <v/>
      </c>
      <c r="Y982" s="12">
        <f>IF(M982="","",X982-W982)</f>
        <v/>
      </c>
      <c r="Z982" s="12">
        <f>IF(M982="","",IF(M982&lt;0,N(Z981)+1,0))</f>
        <v/>
      </c>
    </row>
    <row r="983">
      <c r="H983" s="7" t="n"/>
      <c r="I983" s="7" t="n"/>
      <c r="J983" s="7" t="n"/>
      <c r="K983" s="7" t="n"/>
      <c r="M983" s="8" t="n"/>
      <c r="P983" s="9" t="n"/>
      <c r="Q983" s="10" t="n"/>
      <c r="R983" s="10" t="n"/>
      <c r="S983" s="11" t="n"/>
      <c r="U983" s="12">
        <f>IF(OR(H983="",I983=""),"",ROUND(Settings!$B$4/ABS(H983-I983),2))</f>
        <v/>
      </c>
      <c r="V983" s="13">
        <f>IF(M983="","",ROUND(M983*Settings!$B$4,2))</f>
        <v/>
      </c>
      <c r="W983" s="12">
        <f>IF(M983="","",SUM($M$2:M983))</f>
        <v/>
      </c>
      <c r="X983" s="12">
        <f>IF(M983="","",MAX(0,N(X982),W983))</f>
        <v/>
      </c>
      <c r="Y983" s="12">
        <f>IF(M983="","",X983-W983)</f>
        <v/>
      </c>
      <c r="Z983" s="12">
        <f>IF(M983="","",IF(M983&lt;0,N(Z982)+1,0))</f>
        <v/>
      </c>
    </row>
    <row r="984">
      <c r="H984" s="7" t="n"/>
      <c r="I984" s="7" t="n"/>
      <c r="J984" s="7" t="n"/>
      <c r="K984" s="7" t="n"/>
      <c r="M984" s="8" t="n"/>
      <c r="P984" s="9" t="n"/>
      <c r="Q984" s="10" t="n"/>
      <c r="R984" s="10" t="n"/>
      <c r="S984" s="11" t="n"/>
      <c r="U984" s="12">
        <f>IF(OR(H984="",I984=""),"",ROUND(Settings!$B$4/ABS(H984-I984),2))</f>
        <v/>
      </c>
      <c r="V984" s="13">
        <f>IF(M984="","",ROUND(M984*Settings!$B$4,2))</f>
        <v/>
      </c>
      <c r="W984" s="12">
        <f>IF(M984="","",SUM($M$2:M984))</f>
        <v/>
      </c>
      <c r="X984" s="12">
        <f>IF(M984="","",MAX(0,N(X983),W984))</f>
        <v/>
      </c>
      <c r="Y984" s="12">
        <f>IF(M984="","",X984-W984)</f>
        <v/>
      </c>
      <c r="Z984" s="12">
        <f>IF(M984="","",IF(M984&lt;0,N(Z983)+1,0))</f>
        <v/>
      </c>
    </row>
    <row r="985">
      <c r="H985" s="7" t="n"/>
      <c r="I985" s="7" t="n"/>
      <c r="J985" s="7" t="n"/>
      <c r="K985" s="7" t="n"/>
      <c r="M985" s="8" t="n"/>
      <c r="P985" s="9" t="n"/>
      <c r="Q985" s="10" t="n"/>
      <c r="R985" s="10" t="n"/>
      <c r="S985" s="11" t="n"/>
      <c r="U985" s="12">
        <f>IF(OR(H985="",I985=""),"",ROUND(Settings!$B$4/ABS(H985-I985),2))</f>
        <v/>
      </c>
      <c r="V985" s="13">
        <f>IF(M985="","",ROUND(M985*Settings!$B$4,2))</f>
        <v/>
      </c>
      <c r="W985" s="12">
        <f>IF(M985="","",SUM($M$2:M985))</f>
        <v/>
      </c>
      <c r="X985" s="12">
        <f>IF(M985="","",MAX(0,N(X984),W985))</f>
        <v/>
      </c>
      <c r="Y985" s="12">
        <f>IF(M985="","",X985-W985)</f>
        <v/>
      </c>
      <c r="Z985" s="12">
        <f>IF(M985="","",IF(M985&lt;0,N(Z984)+1,0))</f>
        <v/>
      </c>
    </row>
    <row r="986">
      <c r="H986" s="7" t="n"/>
      <c r="I986" s="7" t="n"/>
      <c r="J986" s="7" t="n"/>
      <c r="K986" s="7" t="n"/>
      <c r="M986" s="8" t="n"/>
      <c r="P986" s="9" t="n"/>
      <c r="Q986" s="10" t="n"/>
      <c r="R986" s="10" t="n"/>
      <c r="S986" s="11" t="n"/>
      <c r="U986" s="12">
        <f>IF(OR(H986="",I986=""),"",ROUND(Settings!$B$4/ABS(H986-I986),2))</f>
        <v/>
      </c>
      <c r="V986" s="13">
        <f>IF(M986="","",ROUND(M986*Settings!$B$4,2))</f>
        <v/>
      </c>
      <c r="W986" s="12">
        <f>IF(M986="","",SUM($M$2:M986))</f>
        <v/>
      </c>
      <c r="X986" s="12">
        <f>IF(M986="","",MAX(0,N(X985),W986))</f>
        <v/>
      </c>
      <c r="Y986" s="12">
        <f>IF(M986="","",X986-W986)</f>
        <v/>
      </c>
      <c r="Z986" s="12">
        <f>IF(M986="","",IF(M986&lt;0,N(Z985)+1,0))</f>
        <v/>
      </c>
    </row>
    <row r="987">
      <c r="H987" s="7" t="n"/>
      <c r="I987" s="7" t="n"/>
      <c r="J987" s="7" t="n"/>
      <c r="K987" s="7" t="n"/>
      <c r="M987" s="8" t="n"/>
      <c r="P987" s="9" t="n"/>
      <c r="Q987" s="10" t="n"/>
      <c r="R987" s="10" t="n"/>
      <c r="S987" s="11" t="n"/>
      <c r="U987" s="12">
        <f>IF(OR(H987="",I987=""),"",ROUND(Settings!$B$4/ABS(H987-I987),2))</f>
        <v/>
      </c>
      <c r="V987" s="13">
        <f>IF(M987="","",ROUND(M987*Settings!$B$4,2))</f>
        <v/>
      </c>
      <c r="W987" s="12">
        <f>IF(M987="","",SUM($M$2:M987))</f>
        <v/>
      </c>
      <c r="X987" s="12">
        <f>IF(M987="","",MAX(0,N(X986),W987))</f>
        <v/>
      </c>
      <c r="Y987" s="12">
        <f>IF(M987="","",X987-W987)</f>
        <v/>
      </c>
      <c r="Z987" s="12">
        <f>IF(M987="","",IF(M987&lt;0,N(Z986)+1,0))</f>
        <v/>
      </c>
    </row>
    <row r="988">
      <c r="H988" s="7" t="n"/>
      <c r="I988" s="7" t="n"/>
      <c r="J988" s="7" t="n"/>
      <c r="K988" s="7" t="n"/>
      <c r="M988" s="8" t="n"/>
      <c r="P988" s="9" t="n"/>
      <c r="Q988" s="10" t="n"/>
      <c r="R988" s="10" t="n"/>
      <c r="S988" s="11" t="n"/>
      <c r="U988" s="12">
        <f>IF(OR(H988="",I988=""),"",ROUND(Settings!$B$4/ABS(H988-I988),2))</f>
        <v/>
      </c>
      <c r="V988" s="13">
        <f>IF(M988="","",ROUND(M988*Settings!$B$4,2))</f>
        <v/>
      </c>
      <c r="W988" s="12">
        <f>IF(M988="","",SUM($M$2:M988))</f>
        <v/>
      </c>
      <c r="X988" s="12">
        <f>IF(M988="","",MAX(0,N(X987),W988))</f>
        <v/>
      </c>
      <c r="Y988" s="12">
        <f>IF(M988="","",X988-W988)</f>
        <v/>
      </c>
      <c r="Z988" s="12">
        <f>IF(M988="","",IF(M988&lt;0,N(Z987)+1,0))</f>
        <v/>
      </c>
    </row>
    <row r="989">
      <c r="H989" s="7" t="n"/>
      <c r="I989" s="7" t="n"/>
      <c r="J989" s="7" t="n"/>
      <c r="K989" s="7" t="n"/>
      <c r="M989" s="8" t="n"/>
      <c r="P989" s="9" t="n"/>
      <c r="Q989" s="10" t="n"/>
      <c r="R989" s="10" t="n"/>
      <c r="S989" s="11" t="n"/>
      <c r="U989" s="12">
        <f>IF(OR(H989="",I989=""),"",ROUND(Settings!$B$4/ABS(H989-I989),2))</f>
        <v/>
      </c>
      <c r="V989" s="13">
        <f>IF(M989="","",ROUND(M989*Settings!$B$4,2))</f>
        <v/>
      </c>
      <c r="W989" s="12">
        <f>IF(M989="","",SUM($M$2:M989))</f>
        <v/>
      </c>
      <c r="X989" s="12">
        <f>IF(M989="","",MAX(0,N(X988),W989))</f>
        <v/>
      </c>
      <c r="Y989" s="12">
        <f>IF(M989="","",X989-W989)</f>
        <v/>
      </c>
      <c r="Z989" s="12">
        <f>IF(M989="","",IF(M989&lt;0,N(Z988)+1,0))</f>
        <v/>
      </c>
    </row>
    <row r="990">
      <c r="H990" s="7" t="n"/>
      <c r="I990" s="7" t="n"/>
      <c r="J990" s="7" t="n"/>
      <c r="K990" s="7" t="n"/>
      <c r="M990" s="8" t="n"/>
      <c r="P990" s="9" t="n"/>
      <c r="Q990" s="10" t="n"/>
      <c r="R990" s="10" t="n"/>
      <c r="S990" s="11" t="n"/>
      <c r="U990" s="12">
        <f>IF(OR(H990="",I990=""),"",ROUND(Settings!$B$4/ABS(H990-I990),2))</f>
        <v/>
      </c>
      <c r="V990" s="13">
        <f>IF(M990="","",ROUND(M990*Settings!$B$4,2))</f>
        <v/>
      </c>
      <c r="W990" s="12">
        <f>IF(M990="","",SUM($M$2:M990))</f>
        <v/>
      </c>
      <c r="X990" s="12">
        <f>IF(M990="","",MAX(0,N(X989),W990))</f>
        <v/>
      </c>
      <c r="Y990" s="12">
        <f>IF(M990="","",X990-W990)</f>
        <v/>
      </c>
      <c r="Z990" s="12">
        <f>IF(M990="","",IF(M990&lt;0,N(Z989)+1,0))</f>
        <v/>
      </c>
    </row>
    <row r="991">
      <c r="H991" s="7" t="n"/>
      <c r="I991" s="7" t="n"/>
      <c r="J991" s="7" t="n"/>
      <c r="K991" s="7" t="n"/>
      <c r="M991" s="8" t="n"/>
      <c r="P991" s="9" t="n"/>
      <c r="Q991" s="10" t="n"/>
      <c r="R991" s="10" t="n"/>
      <c r="S991" s="11" t="n"/>
      <c r="U991" s="12">
        <f>IF(OR(H991="",I991=""),"",ROUND(Settings!$B$4/ABS(H991-I991),2))</f>
        <v/>
      </c>
      <c r="V991" s="13">
        <f>IF(M991="","",ROUND(M991*Settings!$B$4,2))</f>
        <v/>
      </c>
      <c r="W991" s="12">
        <f>IF(M991="","",SUM($M$2:M991))</f>
        <v/>
      </c>
      <c r="X991" s="12">
        <f>IF(M991="","",MAX(0,N(X990),W991))</f>
        <v/>
      </c>
      <c r="Y991" s="12">
        <f>IF(M991="","",X991-W991)</f>
        <v/>
      </c>
      <c r="Z991" s="12">
        <f>IF(M991="","",IF(M991&lt;0,N(Z990)+1,0))</f>
        <v/>
      </c>
    </row>
    <row r="992">
      <c r="H992" s="7" t="n"/>
      <c r="I992" s="7" t="n"/>
      <c r="J992" s="7" t="n"/>
      <c r="K992" s="7" t="n"/>
      <c r="M992" s="8" t="n"/>
      <c r="P992" s="9" t="n"/>
      <c r="Q992" s="10" t="n"/>
      <c r="R992" s="10" t="n"/>
      <c r="S992" s="11" t="n"/>
      <c r="U992" s="12">
        <f>IF(OR(H992="",I992=""),"",ROUND(Settings!$B$4/ABS(H992-I992),2))</f>
        <v/>
      </c>
      <c r="V992" s="13">
        <f>IF(M992="","",ROUND(M992*Settings!$B$4,2))</f>
        <v/>
      </c>
      <c r="W992" s="12">
        <f>IF(M992="","",SUM($M$2:M992))</f>
        <v/>
      </c>
      <c r="X992" s="12">
        <f>IF(M992="","",MAX(0,N(X991),W992))</f>
        <v/>
      </c>
      <c r="Y992" s="12">
        <f>IF(M992="","",X992-W992)</f>
        <v/>
      </c>
      <c r="Z992" s="12">
        <f>IF(M992="","",IF(M992&lt;0,N(Z991)+1,0))</f>
        <v/>
      </c>
    </row>
    <row r="993">
      <c r="H993" s="7" t="n"/>
      <c r="I993" s="7" t="n"/>
      <c r="J993" s="7" t="n"/>
      <c r="K993" s="7" t="n"/>
      <c r="M993" s="8" t="n"/>
      <c r="P993" s="9" t="n"/>
      <c r="Q993" s="10" t="n"/>
      <c r="R993" s="10" t="n"/>
      <c r="S993" s="11" t="n"/>
      <c r="U993" s="12">
        <f>IF(OR(H993="",I993=""),"",ROUND(Settings!$B$4/ABS(H993-I993),2))</f>
        <v/>
      </c>
      <c r="V993" s="13">
        <f>IF(M993="","",ROUND(M993*Settings!$B$4,2))</f>
        <v/>
      </c>
      <c r="W993" s="12">
        <f>IF(M993="","",SUM($M$2:M993))</f>
        <v/>
      </c>
      <c r="X993" s="12">
        <f>IF(M993="","",MAX(0,N(X992),W993))</f>
        <v/>
      </c>
      <c r="Y993" s="12">
        <f>IF(M993="","",X993-W993)</f>
        <v/>
      </c>
      <c r="Z993" s="12">
        <f>IF(M993="","",IF(M993&lt;0,N(Z992)+1,0))</f>
        <v/>
      </c>
    </row>
    <row r="994">
      <c r="H994" s="7" t="n"/>
      <c r="I994" s="7" t="n"/>
      <c r="J994" s="7" t="n"/>
      <c r="K994" s="7" t="n"/>
      <c r="M994" s="8" t="n"/>
      <c r="P994" s="9" t="n"/>
      <c r="Q994" s="10" t="n"/>
      <c r="R994" s="10" t="n"/>
      <c r="S994" s="11" t="n"/>
      <c r="U994" s="12">
        <f>IF(OR(H994="",I994=""),"",ROUND(Settings!$B$4/ABS(H994-I994),2))</f>
        <v/>
      </c>
      <c r="V994" s="13">
        <f>IF(M994="","",ROUND(M994*Settings!$B$4,2))</f>
        <v/>
      </c>
      <c r="W994" s="12">
        <f>IF(M994="","",SUM($M$2:M994))</f>
        <v/>
      </c>
      <c r="X994" s="12">
        <f>IF(M994="","",MAX(0,N(X993),W994))</f>
        <v/>
      </c>
      <c r="Y994" s="12">
        <f>IF(M994="","",X994-W994)</f>
        <v/>
      </c>
      <c r="Z994" s="12">
        <f>IF(M994="","",IF(M994&lt;0,N(Z993)+1,0))</f>
        <v/>
      </c>
    </row>
    <row r="995">
      <c r="H995" s="7" t="n"/>
      <c r="I995" s="7" t="n"/>
      <c r="J995" s="7" t="n"/>
      <c r="K995" s="7" t="n"/>
      <c r="M995" s="8" t="n"/>
      <c r="P995" s="9" t="n"/>
      <c r="Q995" s="10" t="n"/>
      <c r="R995" s="10" t="n"/>
      <c r="S995" s="11" t="n"/>
      <c r="U995" s="12">
        <f>IF(OR(H995="",I995=""),"",ROUND(Settings!$B$4/ABS(H995-I995),2))</f>
        <v/>
      </c>
      <c r="V995" s="13">
        <f>IF(M995="","",ROUND(M995*Settings!$B$4,2))</f>
        <v/>
      </c>
      <c r="W995" s="12">
        <f>IF(M995="","",SUM($M$2:M995))</f>
        <v/>
      </c>
      <c r="X995" s="12">
        <f>IF(M995="","",MAX(0,N(X994),W995))</f>
        <v/>
      </c>
      <c r="Y995" s="12">
        <f>IF(M995="","",X995-W995)</f>
        <v/>
      </c>
      <c r="Z995" s="12">
        <f>IF(M995="","",IF(M995&lt;0,N(Z994)+1,0))</f>
        <v/>
      </c>
    </row>
    <row r="996">
      <c r="H996" s="7" t="n"/>
      <c r="I996" s="7" t="n"/>
      <c r="J996" s="7" t="n"/>
      <c r="K996" s="7" t="n"/>
      <c r="M996" s="8" t="n"/>
      <c r="P996" s="9" t="n"/>
      <c r="Q996" s="10" t="n"/>
      <c r="R996" s="10" t="n"/>
      <c r="S996" s="11" t="n"/>
      <c r="U996" s="12">
        <f>IF(OR(H996="",I996=""),"",ROUND(Settings!$B$4/ABS(H996-I996),2))</f>
        <v/>
      </c>
      <c r="V996" s="13">
        <f>IF(M996="","",ROUND(M996*Settings!$B$4,2))</f>
        <v/>
      </c>
      <c r="W996" s="12">
        <f>IF(M996="","",SUM($M$2:M996))</f>
        <v/>
      </c>
      <c r="X996" s="12">
        <f>IF(M996="","",MAX(0,N(X995),W996))</f>
        <v/>
      </c>
      <c r="Y996" s="12">
        <f>IF(M996="","",X996-W996)</f>
        <v/>
      </c>
      <c r="Z996" s="12">
        <f>IF(M996="","",IF(M996&lt;0,N(Z995)+1,0))</f>
        <v/>
      </c>
    </row>
    <row r="997">
      <c r="H997" s="7" t="n"/>
      <c r="I997" s="7" t="n"/>
      <c r="J997" s="7" t="n"/>
      <c r="K997" s="7" t="n"/>
      <c r="M997" s="8" t="n"/>
      <c r="P997" s="9" t="n"/>
      <c r="Q997" s="10" t="n"/>
      <c r="R997" s="10" t="n"/>
      <c r="S997" s="11" t="n"/>
      <c r="U997" s="12">
        <f>IF(OR(H997="",I997=""),"",ROUND(Settings!$B$4/ABS(H997-I997),2))</f>
        <v/>
      </c>
      <c r="V997" s="13">
        <f>IF(M997="","",ROUND(M997*Settings!$B$4,2))</f>
        <v/>
      </c>
      <c r="W997" s="12">
        <f>IF(M997="","",SUM($M$2:M997))</f>
        <v/>
      </c>
      <c r="X997" s="12">
        <f>IF(M997="","",MAX(0,N(X996),W997))</f>
        <v/>
      </c>
      <c r="Y997" s="12">
        <f>IF(M997="","",X997-W997)</f>
        <v/>
      </c>
      <c r="Z997" s="12">
        <f>IF(M997="","",IF(M997&lt;0,N(Z996)+1,0))</f>
        <v/>
      </c>
    </row>
    <row r="998">
      <c r="H998" s="7" t="n"/>
      <c r="I998" s="7" t="n"/>
      <c r="J998" s="7" t="n"/>
      <c r="K998" s="7" t="n"/>
      <c r="M998" s="8" t="n"/>
      <c r="P998" s="9" t="n"/>
      <c r="Q998" s="10" t="n"/>
      <c r="R998" s="10" t="n"/>
      <c r="S998" s="11" t="n"/>
      <c r="U998" s="12">
        <f>IF(OR(H998="",I998=""),"",ROUND(Settings!$B$4/ABS(H998-I998),2))</f>
        <v/>
      </c>
      <c r="V998" s="13">
        <f>IF(M998="","",ROUND(M998*Settings!$B$4,2))</f>
        <v/>
      </c>
      <c r="W998" s="12">
        <f>IF(M998="","",SUM($M$2:M998))</f>
        <v/>
      </c>
      <c r="X998" s="12">
        <f>IF(M998="","",MAX(0,N(X997),W998))</f>
        <v/>
      </c>
      <c r="Y998" s="12">
        <f>IF(M998="","",X998-W998)</f>
        <v/>
      </c>
      <c r="Z998" s="12">
        <f>IF(M998="","",IF(M998&lt;0,N(Z997)+1,0))</f>
        <v/>
      </c>
    </row>
    <row r="999">
      <c r="H999" s="7" t="n"/>
      <c r="I999" s="7" t="n"/>
      <c r="J999" s="7" t="n"/>
      <c r="K999" s="7" t="n"/>
      <c r="M999" s="8" t="n"/>
      <c r="P999" s="9" t="n"/>
      <c r="Q999" s="10" t="n"/>
      <c r="R999" s="10" t="n"/>
      <c r="S999" s="11" t="n"/>
      <c r="U999" s="12">
        <f>IF(OR(H999="",I999=""),"",ROUND(Settings!$B$4/ABS(H999-I999),2))</f>
        <v/>
      </c>
      <c r="V999" s="13">
        <f>IF(M999="","",ROUND(M999*Settings!$B$4,2))</f>
        <v/>
      </c>
      <c r="W999" s="12">
        <f>IF(M999="","",SUM($M$2:M999))</f>
        <v/>
      </c>
      <c r="X999" s="12">
        <f>IF(M999="","",MAX(0,N(X998),W999))</f>
        <v/>
      </c>
      <c r="Y999" s="12">
        <f>IF(M999="","",X999-W999)</f>
        <v/>
      </c>
      <c r="Z999" s="12">
        <f>IF(M999="","",IF(M999&lt;0,N(Z998)+1,0))</f>
        <v/>
      </c>
    </row>
    <row r="1000">
      <c r="H1000" s="7" t="n"/>
      <c r="I1000" s="7" t="n"/>
      <c r="J1000" s="7" t="n"/>
      <c r="K1000" s="7" t="n"/>
      <c r="M1000" s="8" t="n"/>
      <c r="P1000" s="9" t="n"/>
      <c r="Q1000" s="10" t="n"/>
      <c r="R1000" s="10" t="n"/>
      <c r="S1000" s="11" t="n"/>
      <c r="U1000" s="12">
        <f>IF(OR(H1000="",I1000=""),"",ROUND(Settings!$B$4/ABS(H1000-I1000),2))</f>
        <v/>
      </c>
      <c r="V1000" s="13">
        <f>IF(M1000="","",ROUND(M1000*Settings!$B$4,2))</f>
        <v/>
      </c>
      <c r="W1000" s="12">
        <f>IF(M1000="","",SUM($M$2:M1000))</f>
        <v/>
      </c>
      <c r="X1000" s="12">
        <f>IF(M1000="","",MAX(0,N(X999),W1000))</f>
        <v/>
      </c>
      <c r="Y1000" s="12">
        <f>IF(M1000="","",X1000-W1000)</f>
        <v/>
      </c>
      <c r="Z1000" s="12">
        <f>IF(M1000="","",IF(M1000&lt;0,N(Z999)+1,0))</f>
        <v/>
      </c>
    </row>
  </sheetData>
  <conditionalFormatting sqref="M2:M1000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P2:P1000" showDropDown="0" showInputMessage="0" showErrorMessage="0" allowBlank="1" error="Type yes or no, or leave it blank if you didn't take the session.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60" customWidth="1" min="3" max="3"/>
  </cols>
  <sheetData>
    <row r="1">
      <c r="A1" s="14" t="inlineStr">
        <is>
          <t>Measure</t>
        </is>
      </c>
      <c r="B1" s="14" t="inlineStr">
        <is>
          <t>Value</t>
        </is>
      </c>
      <c r="C1" s="14" t="inlineStr">
        <is>
          <t>What it means</t>
        </is>
      </c>
    </row>
    <row r="2">
      <c r="A2" t="inlineStr">
        <is>
          <t>Sessions logged</t>
        </is>
      </c>
      <c r="B2">
        <f>COUNT(Journal!M2:M1000)</f>
        <v/>
      </c>
      <c r="C2" t="inlineStr">
        <is>
          <t>Each session with a result in the journal.</t>
        </is>
      </c>
    </row>
    <row r="3">
      <c r="A3" t="inlineStr">
        <is>
          <t>Wins</t>
        </is>
      </c>
      <c r="B3">
        <f>COUNTIF(Journal!M2:M1000,"&gt;0")</f>
        <v/>
      </c>
      <c r="C3" t="inlineStr">
        <is>
          <t>Sessions that finished with a positive R.</t>
        </is>
      </c>
    </row>
    <row r="4">
      <c r="A4" t="inlineStr">
        <is>
          <t>Win rate</t>
        </is>
      </c>
      <c r="B4" s="15">
        <f>IF(B2=0,"",B3/B2)</f>
        <v/>
      </c>
      <c r="C4" t="inlineStr">
        <is>
          <t>Wins as a share of sessions. Small samples swing a lot.</t>
        </is>
      </c>
    </row>
    <row r="5">
      <c r="A5" t="inlineStr">
        <is>
          <t>Average R per session</t>
        </is>
      </c>
      <c r="B5" s="8">
        <f>IF(B2=0,"",AVERAGE(Journal!M2:M1000))</f>
        <v/>
      </c>
      <c r="C5" t="inlineStr">
        <is>
          <t>Average result in R, after costs.</t>
        </is>
      </c>
    </row>
    <row r="6">
      <c r="A6" t="inlineStr">
        <is>
          <t>Total R</t>
        </is>
      </c>
      <c r="B6" s="8">
        <f>SUM(Journal!M2:M1000)</f>
        <v/>
      </c>
      <c r="C6" t="inlineStr">
        <is>
          <t>Sum of every logged result, in R.</t>
        </is>
      </c>
    </row>
    <row r="7">
      <c r="A7" t="inlineStr">
        <is>
          <t>Total $ (at the risk amount)</t>
        </is>
      </c>
      <c r="B7" s="16">
        <f>ROUND(B6*Settings!$B$4,2)</f>
        <v/>
      </c>
      <c r="C7" t="inlineStr">
        <is>
          <t>Total R times the risk amount per trade.</t>
        </is>
      </c>
    </row>
    <row r="8">
      <c r="A8" t="inlineStr">
        <is>
          <t>Average win (R)</t>
        </is>
      </c>
      <c r="B8" s="8">
        <f>IFERROR(AVERAGEIF(Journal!M2:M1000,"&gt;0"),"none yet")</f>
        <v/>
      </c>
      <c r="C8" t="inlineStr">
        <is>
          <t>Average of the winning sessions.</t>
        </is>
      </c>
    </row>
    <row r="9">
      <c r="A9" t="inlineStr">
        <is>
          <t>Average loss (R)</t>
        </is>
      </c>
      <c r="B9" s="8">
        <f>IFERROR(AVERAGEIF(Journal!M2:M1000,"&lt;0"),"none yet")</f>
        <v/>
      </c>
      <c r="C9" t="inlineStr">
        <is>
          <t>Average of the losing sessions.</t>
        </is>
      </c>
    </row>
    <row r="10">
      <c r="A10" t="inlineStr">
        <is>
          <t>Max drawdown (R)</t>
        </is>
      </c>
      <c r="B10" s="17">
        <f>MAX(Journal!Y2:Y1000)</f>
        <v/>
      </c>
      <c r="C10" t="inlineStr">
        <is>
          <t>Largest fall from a peak in the running total.</t>
        </is>
      </c>
    </row>
    <row r="11">
      <c r="A11" t="inlineStr">
        <is>
          <t>Max drawdown ($)</t>
        </is>
      </c>
      <c r="B11" s="18">
        <f>ROUND(B10*Settings!$B$4,2)</f>
        <v/>
      </c>
      <c r="C11" t="inlineStr">
        <is>
          <t>The same fall, in dollars at the risk amount.</t>
        </is>
      </c>
    </row>
    <row r="12">
      <c r="A12" t="inlineStr">
        <is>
          <t>Longest losing streak</t>
        </is>
      </c>
      <c r="B12">
        <f>MAX(Journal!Z2:Z1000)</f>
        <v/>
      </c>
      <c r="C12" t="inlineStr">
        <is>
          <t>Most losing sessions in a row.</t>
        </is>
      </c>
    </row>
    <row r="13">
      <c r="A13" t="inlineStr">
        <is>
          <t>Spread and costs ($ per oz)</t>
        </is>
      </c>
      <c r="B13" s="19">
        <f>SUM(Journal!N2:N1000)</f>
        <v/>
      </c>
      <c r="C13" t="inlineStr">
        <is>
          <t>Costs charged to the logged results, per ounce.</t>
        </is>
      </c>
    </row>
    <row r="14">
      <c r="A14" t="inlineStr">
        <is>
          <t>Rule violations (rule_followed = no)</t>
        </is>
      </c>
      <c r="B14">
        <f>COUNTIF(Journal!P2:P1000,"no")</f>
        <v/>
      </c>
      <c r="C14" t="inlineStr">
        <is>
          <t>Sessions where a rule was broken. Log each one.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70" customWidth="1" min="3" max="3"/>
  </cols>
  <sheetData>
    <row r="1">
      <c r="A1" s="14" t="inlineStr">
        <is>
          <t>Setting</t>
        </is>
      </c>
      <c r="B1" s="14" t="inlineStr">
        <is>
          <t>Value</t>
        </is>
      </c>
      <c r="C1" s="14" t="inlineStr">
        <is>
          <t>Note</t>
        </is>
      </c>
    </row>
    <row r="2">
      <c r="A2" t="inlineStr">
        <is>
          <t>Simulated balance ($)</t>
        </is>
      </c>
      <c r="B2" t="n">
        <v>10000</v>
      </c>
      <c r="C2" t="inlineStr">
        <is>
          <t>Confirmed 26 Oct 2026. Keep it fixed during the test.</t>
        </is>
      </c>
    </row>
    <row r="3">
      <c r="A3" t="inlineStr">
        <is>
          <t>Risk per trade (fraction)</t>
        </is>
      </c>
      <c r="B3" s="15" t="n">
        <v>0.005</v>
      </c>
      <c r="C3" t="inlineStr">
        <is>
          <t>0.5%, confirmed. Keep it fixed during the test.</t>
        </is>
      </c>
    </row>
    <row r="4">
      <c r="A4" t="inlineStr">
        <is>
          <t>Risk amount per trade ($)</t>
        </is>
      </c>
      <c r="B4">
        <f>B2*B3</f>
        <v/>
      </c>
      <c r="C4" t="inlineStr">
        <is>
          <t>Calculated. Used for every size and dollar figure.</t>
        </is>
      </c>
    </row>
    <row r="5">
      <c r="A5" t="inlineStr">
        <is>
          <t>Daily loss cap ($)</t>
        </is>
      </c>
      <c r="B5" t="n">
        <v>100</v>
      </c>
      <c r="C5" t="inlineStr">
        <is>
          <t>Kept at $100. Two full stops on one day cost about $103 with costs.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2026-10-26T08:07:38Z</dcterms:created>
  <dcterms:modified xsi:type="dcterms:W3CDTF">2026-10-26T08:07:38Z</dcterms:modified>
</cp:coreProperties>
</file>